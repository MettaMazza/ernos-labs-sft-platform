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macrosheets/sheet1.xml" ContentType="application/vnd.ms-excel.macro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derose\Desktop\Mn &amp; U ROAs\2016\Certified Spectra\"/>
    </mc:Choice>
  </mc:AlternateContent>
  <xr:revisionPtr revIDLastSave="0" documentId="10_ncr:100000_{D570BCDE-2164-4EF4-BC4A-6792B9DB8637}" xr6:coauthVersionLast="31" xr6:coauthVersionMax="31" xr10:uidLastSave="{00000000-0000-0000-0000-000000000000}"/>
  <bookViews>
    <workbookView xWindow="120" yWindow="120" windowWidth="10665" windowHeight="6930" xr2:uid="{00000000-000D-0000-FFFF-FFFF00000000}"/>
  </bookViews>
  <sheets>
    <sheet name="Data" sheetId="6" r:id="rId1"/>
    <sheet name="Macro1" sheetId="7" r:id="rId2"/>
    <sheet name="Graph" sheetId="5" r:id="rId3"/>
  </sheets>
  <definedNames>
    <definedName name="Iint" localSheetId="1">202</definedName>
    <definedName name="Interpolate_Now">Macro1!$A$1</definedName>
    <definedName name="Irow" localSheetId="1">202</definedName>
    <definedName name="Jrow" localSheetId="1">203</definedName>
    <definedName name="Nint" localSheetId="1">201</definedName>
    <definedName name="Npts" localSheetId="1">201</definedName>
    <definedName name="S0dat" localSheetId="1">"Data"</definedName>
    <definedName name="Wint" localSheetId="1">0.0161347822132377</definedName>
    <definedName name="WLstart" localSheetId="1">450</definedName>
    <definedName name="WLstep" localSheetId="1">1</definedName>
    <definedName name="WLstop" localSheetId="1">650</definedName>
    <definedName name="Wunt" localSheetId="1">0.00132283306642966</definedName>
    <definedName name="Wval" localSheetId="1">649</definedName>
    <definedName name="Xinter" localSheetId="1">0.0165283949773436</definedName>
    <definedName name="Xslope" localSheetId="1">-0.0000234292171200523</definedName>
    <definedName name="Xstart" localSheetId="1">450</definedName>
    <definedName name="Xstop" localSheetId="1">650</definedName>
    <definedName name="Yint" localSheetId="1">0.0155382979544747</definedName>
    <definedName name="Ystart" localSheetId="1">450</definedName>
    <definedName name="Ystop" localSheetId="1">650</definedName>
    <definedName name="Yunc" localSheetId="1">0.0012994038493096</definedName>
    <definedName name="Yval" localSheetId="1">650</definedName>
  </definedNames>
  <calcPr calcId="179017" calcMode="manual"/>
</workbook>
</file>

<file path=xl/calcChain.xml><?xml version="1.0" encoding="utf-8"?>
<calcChain xmlns="http://schemas.openxmlformats.org/spreadsheetml/2006/main"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3" i="5"/>
  <c r="D6" i="5" l="1"/>
  <c r="D8" i="5"/>
  <c r="D14" i="5"/>
  <c r="E21" i="5"/>
  <c r="E22" i="5"/>
  <c r="D29" i="5"/>
  <c r="D30" i="5"/>
  <c r="E33" i="5"/>
  <c r="D35" i="5"/>
  <c r="D37" i="5"/>
  <c r="D38" i="5"/>
  <c r="D46" i="5"/>
  <c r="E48" i="5"/>
  <c r="E53" i="5"/>
  <c r="E54" i="5"/>
  <c r="D62" i="5"/>
  <c r="E69" i="5"/>
  <c r="E70" i="5"/>
  <c r="D73" i="5"/>
  <c r="E75" i="5"/>
  <c r="E77" i="5"/>
  <c r="E78" i="5"/>
  <c r="E86" i="5"/>
  <c r="D88" i="5"/>
  <c r="D93" i="5"/>
  <c r="E94" i="5"/>
  <c r="D97" i="5"/>
  <c r="D101" i="5"/>
  <c r="D102" i="5"/>
  <c r="E110" i="5"/>
  <c r="E115" i="5"/>
  <c r="D118" i="5"/>
  <c r="E120" i="5"/>
  <c r="D121" i="5"/>
  <c r="D126" i="5"/>
  <c r="E128" i="5"/>
  <c r="D133" i="5"/>
  <c r="D134" i="5"/>
  <c r="E139" i="5"/>
  <c r="E142" i="5"/>
  <c r="E144" i="5"/>
  <c r="E145" i="5"/>
  <c r="D150" i="5"/>
  <c r="E152" i="5"/>
  <c r="D153" i="5"/>
  <c r="E157" i="5"/>
  <c r="E158" i="5"/>
  <c r="E165" i="5"/>
  <c r="D166" i="5"/>
  <c r="E170" i="5"/>
  <c r="D173" i="5"/>
  <c r="D174" i="5"/>
  <c r="E177" i="5"/>
  <c r="D182" i="5"/>
  <c r="D184" i="5"/>
  <c r="D189" i="5"/>
  <c r="D190" i="5"/>
  <c r="D195" i="5"/>
  <c r="D198" i="5"/>
  <c r="E201" i="5"/>
  <c r="D201" i="5"/>
  <c r="D196" i="5"/>
  <c r="E193" i="5"/>
  <c r="D193" i="5"/>
  <c r="E185" i="5"/>
  <c r="E169" i="5"/>
  <c r="D169" i="5"/>
  <c r="E161" i="5"/>
  <c r="D161" i="5"/>
  <c r="E153" i="5"/>
  <c r="E137" i="5"/>
  <c r="D137" i="5"/>
  <c r="D132" i="5"/>
  <c r="E130" i="5"/>
  <c r="E129" i="5"/>
  <c r="D129" i="5"/>
  <c r="E116" i="5"/>
  <c r="D116" i="5"/>
  <c r="D113" i="5"/>
  <c r="E113" i="5"/>
  <c r="D105" i="5"/>
  <c r="E105" i="5"/>
  <c r="D92" i="5"/>
  <c r="D89" i="5"/>
  <c r="E89" i="5"/>
  <c r="D81" i="5"/>
  <c r="E81" i="5"/>
  <c r="D76" i="5"/>
  <c r="D65" i="5"/>
  <c r="E65" i="5"/>
  <c r="E58" i="5"/>
  <c r="D57" i="5"/>
  <c r="E57" i="5"/>
  <c r="E52" i="5"/>
  <c r="D52" i="5"/>
  <c r="D49" i="5"/>
  <c r="E49" i="5"/>
  <c r="D44" i="5"/>
  <c r="D41" i="5"/>
  <c r="E41" i="5"/>
  <c r="D33" i="5"/>
  <c r="E28" i="5"/>
  <c r="D26" i="5"/>
  <c r="D25" i="5"/>
  <c r="E25" i="5"/>
  <c r="D20" i="5"/>
  <c r="D18" i="5"/>
  <c r="D17" i="5"/>
  <c r="E17" i="5"/>
  <c r="D12" i="5"/>
  <c r="E9" i="5"/>
  <c r="D9" i="5"/>
  <c r="D5" i="5"/>
  <c r="D3" i="5"/>
  <c r="E181" i="5" l="1"/>
  <c r="E73" i="5"/>
  <c r="E97" i="5"/>
  <c r="E121" i="5"/>
  <c r="D145" i="5"/>
  <c r="E122" i="5"/>
  <c r="D82" i="5"/>
  <c r="E42" i="5"/>
  <c r="E18" i="5"/>
  <c r="D75" i="5"/>
  <c r="D104" i="5"/>
  <c r="D177" i="5"/>
  <c r="E188" i="5"/>
  <c r="E180" i="5"/>
  <c r="D164" i="5"/>
  <c r="D156" i="5"/>
  <c r="D148" i="5"/>
  <c r="E140" i="5"/>
  <c r="E124" i="5"/>
  <c r="D108" i="5"/>
  <c r="D100" i="5"/>
  <c r="E92" i="5"/>
  <c r="E84" i="5"/>
  <c r="D68" i="5"/>
  <c r="D60" i="5"/>
  <c r="D36" i="5"/>
  <c r="D28" i="5"/>
  <c r="E20" i="5"/>
  <c r="D4" i="5"/>
  <c r="E64" i="5"/>
  <c r="D48" i="5"/>
  <c r="E24" i="5"/>
  <c r="E202" i="5"/>
  <c r="E194" i="5"/>
  <c r="D186" i="5"/>
  <c r="E178" i="5"/>
  <c r="D162" i="5"/>
  <c r="E154" i="5"/>
  <c r="D146" i="5"/>
  <c r="E138" i="5"/>
  <c r="E133" i="5"/>
  <c r="D125" i="5"/>
  <c r="D122" i="5"/>
  <c r="E114" i="5"/>
  <c r="E109" i="5"/>
  <c r="E106" i="5"/>
  <c r="E98" i="5"/>
  <c r="D90" i="5"/>
  <c r="E82" i="5"/>
  <c r="E74" i="5"/>
  <c r="D69" i="5"/>
  <c r="E66" i="5"/>
  <c r="D58" i="5"/>
  <c r="D50" i="5"/>
  <c r="E34" i="5"/>
  <c r="E26" i="5"/>
  <c r="D13" i="5"/>
  <c r="E10" i="5"/>
  <c r="E91" i="5"/>
  <c r="E35" i="5"/>
  <c r="D176" i="5"/>
  <c r="E62" i="5"/>
  <c r="E102" i="5"/>
  <c r="D140" i="5"/>
  <c r="E187" i="5"/>
  <c r="E163" i="5"/>
  <c r="E164" i="5"/>
  <c r="D188" i="5"/>
  <c r="E171" i="5"/>
  <c r="E155" i="5"/>
  <c r="E123" i="5"/>
  <c r="E67" i="5"/>
  <c r="E59" i="5"/>
  <c r="E11" i="5"/>
  <c r="E200" i="5"/>
  <c r="E192" i="5"/>
  <c r="D144" i="5"/>
  <c r="E136" i="5"/>
  <c r="D120" i="5"/>
  <c r="E88" i="5"/>
  <c r="E80" i="5"/>
  <c r="E72" i="5"/>
  <c r="E32" i="5"/>
  <c r="E16" i="5"/>
  <c r="E197" i="5"/>
  <c r="E173" i="5"/>
  <c r="D149" i="5"/>
  <c r="E141" i="5"/>
  <c r="D117" i="5"/>
  <c r="E101" i="5"/>
  <c r="D85" i="5"/>
  <c r="D61" i="5"/>
  <c r="E45" i="5"/>
  <c r="E37" i="5"/>
  <c r="E5" i="5"/>
  <c r="D24" i="5"/>
  <c r="D202" i="5"/>
  <c r="E179" i="5"/>
  <c r="D107" i="5"/>
  <c r="D99" i="5"/>
  <c r="E27" i="5"/>
  <c r="E19" i="5"/>
  <c r="E184" i="5"/>
  <c r="E112" i="5"/>
  <c r="D56" i="5"/>
  <c r="E40" i="5"/>
  <c r="E46" i="5"/>
  <c r="D84" i="5"/>
  <c r="D172" i="5"/>
  <c r="D203" i="5"/>
  <c r="E195" i="5"/>
  <c r="D147" i="5"/>
  <c r="E131" i="5"/>
  <c r="E83" i="5"/>
  <c r="D51" i="5"/>
  <c r="E43" i="5"/>
  <c r="E168" i="5"/>
  <c r="E160" i="5"/>
  <c r="E96" i="5"/>
  <c r="E50" i="5"/>
  <c r="E60" i="5"/>
  <c r="D86" i="5"/>
  <c r="D114" i="5"/>
  <c r="D138" i="5"/>
  <c r="D185" i="5"/>
  <c r="D110" i="5"/>
  <c r="D70" i="5"/>
  <c r="E99" i="5"/>
  <c r="E14" i="5"/>
  <c r="E30" i="5"/>
  <c r="D43" i="5"/>
  <c r="D54" i="5"/>
  <c r="D112" i="5"/>
  <c r="D160" i="5"/>
  <c r="D171" i="5"/>
  <c r="D16" i="5"/>
  <c r="D78" i="5"/>
  <c r="D94" i="5"/>
  <c r="D179" i="5"/>
  <c r="D197" i="5"/>
  <c r="D158" i="5"/>
  <c r="D142" i="5"/>
  <c r="D155" i="5"/>
  <c r="D168" i="5"/>
  <c r="D11" i="5"/>
  <c r="D22" i="5"/>
  <c r="E38" i="5"/>
  <c r="E56" i="5"/>
  <c r="D67" i="5"/>
  <c r="D80" i="5"/>
  <c r="E90" i="5"/>
  <c r="E107" i="5"/>
  <c r="E118" i="5"/>
  <c r="D124" i="5"/>
  <c r="D131" i="5"/>
  <c r="E149" i="5"/>
  <c r="D180" i="5"/>
  <c r="E186" i="5"/>
  <c r="E79" i="5"/>
  <c r="D79" i="5"/>
  <c r="D32" i="5"/>
  <c r="D45" i="5"/>
  <c r="D64" i="5"/>
  <c r="D77" i="5"/>
  <c r="D96" i="5"/>
  <c r="D109" i="5"/>
  <c r="D128" i="5"/>
  <c r="E166" i="5"/>
  <c r="E13" i="5"/>
  <c r="D19" i="5"/>
  <c r="D34" i="5"/>
  <c r="E55" i="5"/>
  <c r="D55" i="5"/>
  <c r="D66" i="5"/>
  <c r="D83" i="5"/>
  <c r="D98" i="5"/>
  <c r="E119" i="5"/>
  <c r="D119" i="5"/>
  <c r="E126" i="5"/>
  <c r="D139" i="5"/>
  <c r="D181" i="5"/>
  <c r="E190" i="5"/>
  <c r="E3" i="5"/>
  <c r="E29" i="5"/>
  <c r="E39" i="5"/>
  <c r="D39" i="5"/>
  <c r="E61" i="5"/>
  <c r="E71" i="5"/>
  <c r="D71" i="5"/>
  <c r="E93" i="5"/>
  <c r="E103" i="5"/>
  <c r="D103" i="5"/>
  <c r="E125" i="5"/>
  <c r="E147" i="5"/>
  <c r="E175" i="5"/>
  <c r="D175" i="5"/>
  <c r="E189" i="5"/>
  <c r="E135" i="5"/>
  <c r="D135" i="5"/>
  <c r="E146" i="5"/>
  <c r="E182" i="5"/>
  <c r="E199" i="5"/>
  <c r="D199" i="5"/>
  <c r="E47" i="5"/>
  <c r="D47" i="5"/>
  <c r="E159" i="5"/>
  <c r="D159" i="5"/>
  <c r="D157" i="5"/>
  <c r="E23" i="5"/>
  <c r="D23" i="5"/>
  <c r="E87" i="5"/>
  <c r="D87" i="5"/>
  <c r="E143" i="5"/>
  <c r="D143" i="5"/>
  <c r="E8" i="5"/>
  <c r="D21" i="5"/>
  <c r="E51" i="5"/>
  <c r="E150" i="5"/>
  <c r="D163" i="5"/>
  <c r="E167" i="5"/>
  <c r="D167" i="5"/>
  <c r="E172" i="5"/>
  <c r="E203" i="5"/>
  <c r="D10" i="5"/>
  <c r="D59" i="5"/>
  <c r="E85" i="5"/>
  <c r="D91" i="5"/>
  <c r="E104" i="5"/>
  <c r="D106" i="5"/>
  <c r="E117" i="5"/>
  <c r="D123" i="5"/>
  <c r="E127" i="5"/>
  <c r="D127" i="5"/>
  <c r="E132" i="5"/>
  <c r="D136" i="5"/>
  <c r="D154" i="5"/>
  <c r="D165" i="5"/>
  <c r="E174" i="5"/>
  <c r="E176" i="5"/>
  <c r="D187" i="5"/>
  <c r="E191" i="5"/>
  <c r="D191" i="5"/>
  <c r="E196" i="5"/>
  <c r="D200" i="5"/>
  <c r="E15" i="5"/>
  <c r="D15" i="5"/>
  <c r="E111" i="5"/>
  <c r="D111" i="5"/>
  <c r="E183" i="5"/>
  <c r="D183" i="5"/>
  <c r="D192" i="5"/>
  <c r="E4" i="5"/>
  <c r="D115" i="5"/>
  <c r="E148" i="5"/>
  <c r="D152" i="5"/>
  <c r="D170" i="5"/>
  <c r="E6" i="5"/>
  <c r="E36" i="5"/>
  <c r="D40" i="5"/>
  <c r="D53" i="5"/>
  <c r="E68" i="5"/>
  <c r="D72" i="5"/>
  <c r="E100" i="5"/>
  <c r="D130" i="5"/>
  <c r="D141" i="5"/>
  <c r="D194" i="5"/>
  <c r="D27" i="5"/>
  <c r="E31" i="5"/>
  <c r="D31" i="5"/>
  <c r="D42" i="5"/>
  <c r="E63" i="5"/>
  <c r="D63" i="5"/>
  <c r="D74" i="5"/>
  <c r="E95" i="5"/>
  <c r="D95" i="5"/>
  <c r="E7" i="5"/>
  <c r="D7" i="5"/>
  <c r="E12" i="5"/>
  <c r="E44" i="5"/>
  <c r="E76" i="5"/>
  <c r="E108" i="5"/>
  <c r="E134" i="5"/>
  <c r="E151" i="5"/>
  <c r="D151" i="5"/>
  <c r="E156" i="5"/>
  <c r="E162" i="5"/>
  <c r="D178" i="5"/>
  <c r="E198" i="5"/>
</calcChain>
</file>

<file path=xl/sharedStrings.xml><?xml version="1.0" encoding="utf-8"?>
<sst xmlns="http://schemas.openxmlformats.org/spreadsheetml/2006/main" count="26" uniqueCount="21">
  <si>
    <t>Certified Value</t>
  </si>
  <si>
    <t>nm</t>
  </si>
  <si>
    <t>Intensity</t>
  </si>
  <si>
    <r>
      <t>U</t>
    </r>
    <r>
      <rPr>
        <vertAlign val="subscript"/>
        <sz val="10"/>
        <rFont val="Arial"/>
        <family val="2"/>
      </rPr>
      <t>95</t>
    </r>
    <r>
      <rPr>
        <sz val="10"/>
        <rFont val="Arial"/>
        <family val="2"/>
      </rPr>
      <t>(In)</t>
    </r>
  </si>
  <si>
    <t>Parameter</t>
  </si>
  <si>
    <t>Value</t>
  </si>
  <si>
    <t>Interpolated Value</t>
  </si>
  <si>
    <t>Xstart</t>
  </si>
  <si>
    <t>Intensity'</t>
  </si>
  <si>
    <t>Xstop</t>
  </si>
  <si>
    <t>Xstep</t>
  </si>
  <si>
    <r>
      <t>U</t>
    </r>
    <r>
      <rPr>
        <vertAlign val="subscript"/>
        <sz val="10"/>
        <rFont val="Arial"/>
        <family val="2"/>
      </rPr>
      <t>95</t>
    </r>
    <r>
      <rPr>
        <sz val="10"/>
        <rFont val="Arial"/>
        <family val="2"/>
      </rPr>
      <t>(In')</t>
    </r>
  </si>
  <si>
    <t>Interpolate_Now</t>
  </si>
  <si>
    <t>! Check that everything is ok</t>
  </si>
  <si>
    <t>! Check parameters</t>
  </si>
  <si>
    <t>!Clear any old stuff</t>
  </si>
  <si>
    <t>! Linear interpolate</t>
  </si>
  <si>
    <t>! Always interpolate</t>
  </si>
  <si>
    <t>! Format</t>
  </si>
  <si>
    <t>I + U95</t>
  </si>
  <si>
    <t>I - U95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</si>
</sst>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2" fillId="0" borderId="0" xfId="1"/>
    <xf numFmtId="0" fontId="2" fillId="0" borderId="1" xfId="1" applyNumberFormat="1" applyBorder="1" applyAlignment="1" applyProtection="1">
      <alignment horizontal="center"/>
      <protection locked="0"/>
    </xf>
    <xf numFmtId="1" fontId="2" fillId="0" borderId="2" xfId="1" applyNumberFormat="1" applyBorder="1" applyAlignment="1">
      <alignment horizontal="center"/>
    </xf>
    <xf numFmtId="1" fontId="2" fillId="0" borderId="3" xfId="1" applyNumberFormat="1" applyBorder="1" applyAlignment="1" applyProtection="1">
      <alignment horizontal="center"/>
      <protection locked="0"/>
    </xf>
    <xf numFmtId="0" fontId="2" fillId="0" borderId="0" xfId="1" applyFont="1" applyAlignment="1">
      <alignment horizontal="center"/>
    </xf>
    <xf numFmtId="0" fontId="2" fillId="0" borderId="0" xfId="1" applyAlignment="1">
      <alignment horizontal="center"/>
    </xf>
    <xf numFmtId="164" fontId="2" fillId="0" borderId="0" xfId="1" applyNumberFormat="1" applyAlignment="1">
      <alignment horizontal="center"/>
    </xf>
    <xf numFmtId="164" fontId="2" fillId="0" borderId="0" xfId="1" applyNumberFormat="1"/>
    <xf numFmtId="165" fontId="2" fillId="0" borderId="0" xfId="1" applyNumberFormat="1"/>
    <xf numFmtId="1" fontId="2" fillId="0" borderId="0" xfId="1" applyNumberFormat="1"/>
    <xf numFmtId="0" fontId="2" fillId="0" borderId="0" xfId="1" applyNumberFormat="1" applyProtection="1">
      <protection locked="0"/>
    </xf>
    <xf numFmtId="0" fontId="4" fillId="0" borderId="0" xfId="1" applyFont="1"/>
    <xf numFmtId="0" fontId="2" fillId="0" borderId="0" xfId="1" applyFont="1" applyAlignment="1">
      <alignment horizontal="right"/>
    </xf>
    <xf numFmtId="165" fontId="2" fillId="0" borderId="1" xfId="1" applyNumberFormat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1" xfId="1" applyBorder="1" applyAlignment="1">
      <alignment horizontal="center"/>
    </xf>
    <xf numFmtId="0" fontId="1" fillId="0" borderId="0" xfId="1" applyFont="1"/>
    <xf numFmtId="0" fontId="2" fillId="0" borderId="4" xfId="1" applyBorder="1" applyAlignment="1">
      <alignment horizontal="center"/>
    </xf>
    <xf numFmtId="2" fontId="2" fillId="0" borderId="0" xfId="1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microsoft.com/office/2006/relationships/xlMacrosheet" Target="macro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35673665791777"/>
          <c:y val="5.7060367454068242E-2"/>
          <c:w val="0.80064326334208225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v>certified values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Graph!$A$3:$A$303</c:f>
              <c:numCache>
                <c:formatCode>General</c:formatCode>
                <c:ptCount val="301"/>
                <c:pt idx="0">
                  <c:v>450</c:v>
                </c:pt>
                <c:pt idx="1">
                  <c:v>451</c:v>
                </c:pt>
                <c:pt idx="2">
                  <c:v>452</c:v>
                </c:pt>
                <c:pt idx="3">
                  <c:v>453</c:v>
                </c:pt>
                <c:pt idx="4">
                  <c:v>454</c:v>
                </c:pt>
                <c:pt idx="5">
                  <c:v>455</c:v>
                </c:pt>
                <c:pt idx="6">
                  <c:v>456</c:v>
                </c:pt>
                <c:pt idx="7">
                  <c:v>457</c:v>
                </c:pt>
                <c:pt idx="8">
                  <c:v>458</c:v>
                </c:pt>
                <c:pt idx="9">
                  <c:v>459</c:v>
                </c:pt>
                <c:pt idx="10">
                  <c:v>460</c:v>
                </c:pt>
                <c:pt idx="11">
                  <c:v>461</c:v>
                </c:pt>
                <c:pt idx="12">
                  <c:v>462</c:v>
                </c:pt>
                <c:pt idx="13">
                  <c:v>463</c:v>
                </c:pt>
                <c:pt idx="14">
                  <c:v>464</c:v>
                </c:pt>
                <c:pt idx="15">
                  <c:v>465</c:v>
                </c:pt>
                <c:pt idx="16">
                  <c:v>466</c:v>
                </c:pt>
                <c:pt idx="17">
                  <c:v>467</c:v>
                </c:pt>
                <c:pt idx="18">
                  <c:v>468</c:v>
                </c:pt>
                <c:pt idx="19">
                  <c:v>469</c:v>
                </c:pt>
                <c:pt idx="20">
                  <c:v>470</c:v>
                </c:pt>
                <c:pt idx="21">
                  <c:v>471</c:v>
                </c:pt>
                <c:pt idx="22">
                  <c:v>472</c:v>
                </c:pt>
                <c:pt idx="23">
                  <c:v>473</c:v>
                </c:pt>
                <c:pt idx="24">
                  <c:v>474</c:v>
                </c:pt>
                <c:pt idx="25">
                  <c:v>475</c:v>
                </c:pt>
                <c:pt idx="26">
                  <c:v>476</c:v>
                </c:pt>
                <c:pt idx="27">
                  <c:v>477</c:v>
                </c:pt>
                <c:pt idx="28">
                  <c:v>478</c:v>
                </c:pt>
                <c:pt idx="29">
                  <c:v>479</c:v>
                </c:pt>
                <c:pt idx="30">
                  <c:v>480</c:v>
                </c:pt>
                <c:pt idx="31">
                  <c:v>481</c:v>
                </c:pt>
                <c:pt idx="32">
                  <c:v>482</c:v>
                </c:pt>
                <c:pt idx="33">
                  <c:v>483</c:v>
                </c:pt>
                <c:pt idx="34">
                  <c:v>484</c:v>
                </c:pt>
                <c:pt idx="35">
                  <c:v>485</c:v>
                </c:pt>
                <c:pt idx="36">
                  <c:v>486</c:v>
                </c:pt>
                <c:pt idx="37">
                  <c:v>487</c:v>
                </c:pt>
                <c:pt idx="38">
                  <c:v>488</c:v>
                </c:pt>
                <c:pt idx="39">
                  <c:v>489</c:v>
                </c:pt>
                <c:pt idx="40">
                  <c:v>490</c:v>
                </c:pt>
                <c:pt idx="41">
                  <c:v>491</c:v>
                </c:pt>
                <c:pt idx="42">
                  <c:v>492</c:v>
                </c:pt>
                <c:pt idx="43">
                  <c:v>493</c:v>
                </c:pt>
                <c:pt idx="44">
                  <c:v>494</c:v>
                </c:pt>
                <c:pt idx="45">
                  <c:v>495</c:v>
                </c:pt>
                <c:pt idx="46">
                  <c:v>496</c:v>
                </c:pt>
                <c:pt idx="47">
                  <c:v>497</c:v>
                </c:pt>
                <c:pt idx="48">
                  <c:v>498</c:v>
                </c:pt>
                <c:pt idx="49">
                  <c:v>499</c:v>
                </c:pt>
                <c:pt idx="50">
                  <c:v>500</c:v>
                </c:pt>
                <c:pt idx="51">
                  <c:v>501</c:v>
                </c:pt>
                <c:pt idx="52">
                  <c:v>502</c:v>
                </c:pt>
                <c:pt idx="53">
                  <c:v>503</c:v>
                </c:pt>
                <c:pt idx="54">
                  <c:v>504</c:v>
                </c:pt>
                <c:pt idx="55">
                  <c:v>505</c:v>
                </c:pt>
                <c:pt idx="56">
                  <c:v>506</c:v>
                </c:pt>
                <c:pt idx="57">
                  <c:v>507</c:v>
                </c:pt>
                <c:pt idx="58">
                  <c:v>508</c:v>
                </c:pt>
                <c:pt idx="59">
                  <c:v>509</c:v>
                </c:pt>
                <c:pt idx="60">
                  <c:v>510</c:v>
                </c:pt>
                <c:pt idx="61">
                  <c:v>511</c:v>
                </c:pt>
                <c:pt idx="62">
                  <c:v>512</c:v>
                </c:pt>
                <c:pt idx="63">
                  <c:v>513</c:v>
                </c:pt>
                <c:pt idx="64">
                  <c:v>514</c:v>
                </c:pt>
                <c:pt idx="65">
                  <c:v>515</c:v>
                </c:pt>
                <c:pt idx="66">
                  <c:v>516</c:v>
                </c:pt>
                <c:pt idx="67">
                  <c:v>517</c:v>
                </c:pt>
                <c:pt idx="68">
                  <c:v>518</c:v>
                </c:pt>
                <c:pt idx="69">
                  <c:v>519</c:v>
                </c:pt>
                <c:pt idx="70">
                  <c:v>520</c:v>
                </c:pt>
                <c:pt idx="71">
                  <c:v>521</c:v>
                </c:pt>
                <c:pt idx="72">
                  <c:v>522</c:v>
                </c:pt>
                <c:pt idx="73">
                  <c:v>523</c:v>
                </c:pt>
                <c:pt idx="74">
                  <c:v>524</c:v>
                </c:pt>
                <c:pt idx="75">
                  <c:v>525</c:v>
                </c:pt>
                <c:pt idx="76">
                  <c:v>526</c:v>
                </c:pt>
                <c:pt idx="77">
                  <c:v>527</c:v>
                </c:pt>
                <c:pt idx="78">
                  <c:v>528</c:v>
                </c:pt>
                <c:pt idx="79">
                  <c:v>529</c:v>
                </c:pt>
                <c:pt idx="80">
                  <c:v>530</c:v>
                </c:pt>
                <c:pt idx="81">
                  <c:v>531</c:v>
                </c:pt>
                <c:pt idx="82">
                  <c:v>532</c:v>
                </c:pt>
                <c:pt idx="83">
                  <c:v>533</c:v>
                </c:pt>
                <c:pt idx="84">
                  <c:v>534</c:v>
                </c:pt>
                <c:pt idx="85">
                  <c:v>535</c:v>
                </c:pt>
                <c:pt idx="86">
                  <c:v>536</c:v>
                </c:pt>
                <c:pt idx="87">
                  <c:v>537</c:v>
                </c:pt>
                <c:pt idx="88">
                  <c:v>538</c:v>
                </c:pt>
                <c:pt idx="89">
                  <c:v>539</c:v>
                </c:pt>
                <c:pt idx="90">
                  <c:v>540</c:v>
                </c:pt>
                <c:pt idx="91">
                  <c:v>541</c:v>
                </c:pt>
                <c:pt idx="92">
                  <c:v>542</c:v>
                </c:pt>
                <c:pt idx="93">
                  <c:v>543</c:v>
                </c:pt>
                <c:pt idx="94">
                  <c:v>544</c:v>
                </c:pt>
                <c:pt idx="95">
                  <c:v>545</c:v>
                </c:pt>
                <c:pt idx="96">
                  <c:v>546</c:v>
                </c:pt>
                <c:pt idx="97">
                  <c:v>547</c:v>
                </c:pt>
                <c:pt idx="98">
                  <c:v>548</c:v>
                </c:pt>
                <c:pt idx="99">
                  <c:v>549</c:v>
                </c:pt>
                <c:pt idx="100">
                  <c:v>550</c:v>
                </c:pt>
                <c:pt idx="101">
                  <c:v>551</c:v>
                </c:pt>
                <c:pt idx="102">
                  <c:v>552</c:v>
                </c:pt>
                <c:pt idx="103">
                  <c:v>553</c:v>
                </c:pt>
                <c:pt idx="104">
                  <c:v>554</c:v>
                </c:pt>
                <c:pt idx="105">
                  <c:v>555</c:v>
                </c:pt>
                <c:pt idx="106">
                  <c:v>556</c:v>
                </c:pt>
                <c:pt idx="107">
                  <c:v>557</c:v>
                </c:pt>
                <c:pt idx="108">
                  <c:v>558</c:v>
                </c:pt>
                <c:pt idx="109">
                  <c:v>559</c:v>
                </c:pt>
                <c:pt idx="110">
                  <c:v>560</c:v>
                </c:pt>
                <c:pt idx="111">
                  <c:v>561</c:v>
                </c:pt>
                <c:pt idx="112">
                  <c:v>562</c:v>
                </c:pt>
                <c:pt idx="113">
                  <c:v>563</c:v>
                </c:pt>
                <c:pt idx="114">
                  <c:v>564</c:v>
                </c:pt>
                <c:pt idx="115">
                  <c:v>565</c:v>
                </c:pt>
                <c:pt idx="116">
                  <c:v>566</c:v>
                </c:pt>
                <c:pt idx="117">
                  <c:v>567</c:v>
                </c:pt>
                <c:pt idx="118">
                  <c:v>568</c:v>
                </c:pt>
                <c:pt idx="119">
                  <c:v>569</c:v>
                </c:pt>
                <c:pt idx="120">
                  <c:v>570</c:v>
                </c:pt>
                <c:pt idx="121">
                  <c:v>571</c:v>
                </c:pt>
                <c:pt idx="122">
                  <c:v>572</c:v>
                </c:pt>
                <c:pt idx="123">
                  <c:v>573</c:v>
                </c:pt>
                <c:pt idx="124">
                  <c:v>574</c:v>
                </c:pt>
                <c:pt idx="125">
                  <c:v>575</c:v>
                </c:pt>
                <c:pt idx="126">
                  <c:v>576</c:v>
                </c:pt>
                <c:pt idx="127">
                  <c:v>577</c:v>
                </c:pt>
                <c:pt idx="128">
                  <c:v>578</c:v>
                </c:pt>
                <c:pt idx="129">
                  <c:v>579</c:v>
                </c:pt>
                <c:pt idx="130">
                  <c:v>580</c:v>
                </c:pt>
                <c:pt idx="131">
                  <c:v>581</c:v>
                </c:pt>
                <c:pt idx="132">
                  <c:v>582</c:v>
                </c:pt>
                <c:pt idx="133">
                  <c:v>583</c:v>
                </c:pt>
                <c:pt idx="134">
                  <c:v>584</c:v>
                </c:pt>
                <c:pt idx="135">
                  <c:v>585</c:v>
                </c:pt>
                <c:pt idx="136">
                  <c:v>586</c:v>
                </c:pt>
                <c:pt idx="137">
                  <c:v>587</c:v>
                </c:pt>
                <c:pt idx="138">
                  <c:v>588</c:v>
                </c:pt>
                <c:pt idx="139">
                  <c:v>589</c:v>
                </c:pt>
                <c:pt idx="140">
                  <c:v>590</c:v>
                </c:pt>
                <c:pt idx="141">
                  <c:v>591</c:v>
                </c:pt>
                <c:pt idx="142">
                  <c:v>592</c:v>
                </c:pt>
                <c:pt idx="143">
                  <c:v>593</c:v>
                </c:pt>
                <c:pt idx="144">
                  <c:v>594</c:v>
                </c:pt>
                <c:pt idx="145">
                  <c:v>595</c:v>
                </c:pt>
                <c:pt idx="146">
                  <c:v>596</c:v>
                </c:pt>
                <c:pt idx="147">
                  <c:v>597</c:v>
                </c:pt>
                <c:pt idx="148">
                  <c:v>598</c:v>
                </c:pt>
                <c:pt idx="149">
                  <c:v>599</c:v>
                </c:pt>
                <c:pt idx="150">
                  <c:v>600</c:v>
                </c:pt>
                <c:pt idx="151">
                  <c:v>601</c:v>
                </c:pt>
                <c:pt idx="152">
                  <c:v>602</c:v>
                </c:pt>
                <c:pt idx="153">
                  <c:v>603</c:v>
                </c:pt>
                <c:pt idx="154">
                  <c:v>604</c:v>
                </c:pt>
                <c:pt idx="155">
                  <c:v>605</c:v>
                </c:pt>
                <c:pt idx="156">
                  <c:v>606</c:v>
                </c:pt>
                <c:pt idx="157">
                  <c:v>607</c:v>
                </c:pt>
                <c:pt idx="158">
                  <c:v>608</c:v>
                </c:pt>
                <c:pt idx="159">
                  <c:v>609</c:v>
                </c:pt>
                <c:pt idx="160">
                  <c:v>610</c:v>
                </c:pt>
                <c:pt idx="161">
                  <c:v>611</c:v>
                </c:pt>
                <c:pt idx="162">
                  <c:v>612</c:v>
                </c:pt>
                <c:pt idx="163">
                  <c:v>613</c:v>
                </c:pt>
                <c:pt idx="164">
                  <c:v>614</c:v>
                </c:pt>
                <c:pt idx="165">
                  <c:v>615</c:v>
                </c:pt>
                <c:pt idx="166">
                  <c:v>616</c:v>
                </c:pt>
                <c:pt idx="167">
                  <c:v>617</c:v>
                </c:pt>
                <c:pt idx="168">
                  <c:v>618</c:v>
                </c:pt>
                <c:pt idx="169">
                  <c:v>619</c:v>
                </c:pt>
                <c:pt idx="170">
                  <c:v>620</c:v>
                </c:pt>
                <c:pt idx="171">
                  <c:v>621</c:v>
                </c:pt>
                <c:pt idx="172">
                  <c:v>622</c:v>
                </c:pt>
                <c:pt idx="173">
                  <c:v>623</c:v>
                </c:pt>
                <c:pt idx="174">
                  <c:v>624</c:v>
                </c:pt>
                <c:pt idx="175">
                  <c:v>625</c:v>
                </c:pt>
                <c:pt idx="176">
                  <c:v>626</c:v>
                </c:pt>
                <c:pt idx="177">
                  <c:v>627</c:v>
                </c:pt>
                <c:pt idx="178">
                  <c:v>628</c:v>
                </c:pt>
                <c:pt idx="179">
                  <c:v>629</c:v>
                </c:pt>
                <c:pt idx="180">
                  <c:v>630</c:v>
                </c:pt>
                <c:pt idx="181">
                  <c:v>631</c:v>
                </c:pt>
                <c:pt idx="182">
                  <c:v>632</c:v>
                </c:pt>
                <c:pt idx="183">
                  <c:v>633</c:v>
                </c:pt>
                <c:pt idx="184">
                  <c:v>634</c:v>
                </c:pt>
                <c:pt idx="185">
                  <c:v>635</c:v>
                </c:pt>
                <c:pt idx="186">
                  <c:v>636</c:v>
                </c:pt>
                <c:pt idx="187">
                  <c:v>637</c:v>
                </c:pt>
                <c:pt idx="188">
                  <c:v>638</c:v>
                </c:pt>
                <c:pt idx="189">
                  <c:v>639</c:v>
                </c:pt>
                <c:pt idx="190">
                  <c:v>640</c:v>
                </c:pt>
                <c:pt idx="191">
                  <c:v>641</c:v>
                </c:pt>
                <c:pt idx="192">
                  <c:v>642</c:v>
                </c:pt>
                <c:pt idx="193">
                  <c:v>643</c:v>
                </c:pt>
                <c:pt idx="194">
                  <c:v>644</c:v>
                </c:pt>
                <c:pt idx="195">
                  <c:v>645</c:v>
                </c:pt>
                <c:pt idx="196">
                  <c:v>646</c:v>
                </c:pt>
                <c:pt idx="197">
                  <c:v>647</c:v>
                </c:pt>
                <c:pt idx="198">
                  <c:v>648</c:v>
                </c:pt>
                <c:pt idx="199">
                  <c:v>649</c:v>
                </c:pt>
                <c:pt idx="200">
                  <c:v>650</c:v>
                </c:pt>
              </c:numCache>
            </c:numRef>
          </c:xVal>
          <c:yVal>
            <c:numRef>
              <c:f>Graph!$B$3:$B$303</c:f>
              <c:numCache>
                <c:formatCode>General</c:formatCode>
                <c:ptCount val="301"/>
                <c:pt idx="0">
                  <c:v>4.2954061873511432E-4</c:v>
                </c:pt>
                <c:pt idx="1">
                  <c:v>4.9879751382469247E-4</c:v>
                </c:pt>
                <c:pt idx="2">
                  <c:v>5.8545926729735665E-4</c:v>
                </c:pt>
                <c:pt idx="3">
                  <c:v>7.0306183872745906E-4</c:v>
                </c:pt>
                <c:pt idx="4">
                  <c:v>8.0845813078025855E-4</c:v>
                </c:pt>
                <c:pt idx="5">
                  <c:v>9.8670648097284983E-4</c:v>
                </c:pt>
                <c:pt idx="6">
                  <c:v>1.1524510357402336E-3</c:v>
                </c:pt>
                <c:pt idx="7">
                  <c:v>1.3691839345430716E-3</c:v>
                </c:pt>
                <c:pt idx="8">
                  <c:v>1.6457064254102368E-3</c:v>
                </c:pt>
                <c:pt idx="9">
                  <c:v>1.912599293210492E-3</c:v>
                </c:pt>
                <c:pt idx="10">
                  <c:v>2.351199834366709E-3</c:v>
                </c:pt>
                <c:pt idx="11">
                  <c:v>2.8253110180277629E-3</c:v>
                </c:pt>
                <c:pt idx="12">
                  <c:v>3.4017566558955186E-3</c:v>
                </c:pt>
                <c:pt idx="13">
                  <c:v>4.0805944232121267E-3</c:v>
                </c:pt>
                <c:pt idx="14">
                  <c:v>4.9819091733928414E-3</c:v>
                </c:pt>
                <c:pt idx="15">
                  <c:v>6.0907498660285869E-3</c:v>
                </c:pt>
                <c:pt idx="16">
                  <c:v>7.279951008566792E-3</c:v>
                </c:pt>
                <c:pt idx="17">
                  <c:v>8.8176404820291925E-3</c:v>
                </c:pt>
                <c:pt idx="18">
                  <c:v>1.0499250426858281E-2</c:v>
                </c:pt>
                <c:pt idx="19">
                  <c:v>1.2598364358276191E-2</c:v>
                </c:pt>
                <c:pt idx="20">
                  <c:v>1.5025246652012091E-2</c:v>
                </c:pt>
                <c:pt idx="21">
                  <c:v>1.7788179246507801E-2</c:v>
                </c:pt>
                <c:pt idx="22">
                  <c:v>2.1135601415254571E-2</c:v>
                </c:pt>
                <c:pt idx="23">
                  <c:v>2.4744429907895563E-2</c:v>
                </c:pt>
                <c:pt idx="24">
                  <c:v>2.9285863507304777E-2</c:v>
                </c:pt>
                <c:pt idx="25">
                  <c:v>3.4646064577893591E-2</c:v>
                </c:pt>
                <c:pt idx="26">
                  <c:v>4.0238986924119431E-2</c:v>
                </c:pt>
                <c:pt idx="27">
                  <c:v>4.7076361143046773E-2</c:v>
                </c:pt>
                <c:pt idx="28">
                  <c:v>5.4597189146710183E-2</c:v>
                </c:pt>
                <c:pt idx="29">
                  <c:v>6.3822969992783946E-2</c:v>
                </c:pt>
                <c:pt idx="30">
                  <c:v>7.4143247904965862E-2</c:v>
                </c:pt>
                <c:pt idx="31">
                  <c:v>8.5325932091621412E-2</c:v>
                </c:pt>
                <c:pt idx="32">
                  <c:v>9.8115868246864885E-2</c:v>
                </c:pt>
                <c:pt idx="33">
                  <c:v>0.11253210404822628</c:v>
                </c:pt>
                <c:pt idx="34">
                  <c:v>0.1276864136314716</c:v>
                </c:pt>
                <c:pt idx="35">
                  <c:v>0.14483727845252922</c:v>
                </c:pt>
                <c:pt idx="36">
                  <c:v>0.16228908678468776</c:v>
                </c:pt>
                <c:pt idx="37">
                  <c:v>0.18271819041593826</c:v>
                </c:pt>
                <c:pt idx="38">
                  <c:v>0.20415244331200424</c:v>
                </c:pt>
                <c:pt idx="39">
                  <c:v>0.2262770453156685</c:v>
                </c:pt>
                <c:pt idx="40">
                  <c:v>0.25147772826335113</c:v>
                </c:pt>
                <c:pt idx="41">
                  <c:v>0.27908916337989936</c:v>
                </c:pt>
                <c:pt idx="42">
                  <c:v>0.30848522681995699</c:v>
                </c:pt>
                <c:pt idx="43">
                  <c:v>0.34165213045944576</c:v>
                </c:pt>
                <c:pt idx="44">
                  <c:v>0.37789747579450383</c:v>
                </c:pt>
                <c:pt idx="45">
                  <c:v>0.41419128298679148</c:v>
                </c:pt>
                <c:pt idx="46">
                  <c:v>0.45610444822077123</c:v>
                </c:pt>
                <c:pt idx="47">
                  <c:v>0.50037792883188903</c:v>
                </c:pt>
                <c:pt idx="48">
                  <c:v>0.54413494574140897</c:v>
                </c:pt>
                <c:pt idx="49">
                  <c:v>0.59087560905460157</c:v>
                </c:pt>
                <c:pt idx="50">
                  <c:v>0.63734893511261492</c:v>
                </c:pt>
                <c:pt idx="51">
                  <c:v>0.68011300950304732</c:v>
                </c:pt>
                <c:pt idx="52">
                  <c:v>0.72157821532078426</c:v>
                </c:pt>
                <c:pt idx="53">
                  <c:v>0.75874433466197999</c:v>
                </c:pt>
                <c:pt idx="54">
                  <c:v>0.79017516852349912</c:v>
                </c:pt>
                <c:pt idx="55">
                  <c:v>0.81728528668047606</c:v>
                </c:pt>
                <c:pt idx="56">
                  <c:v>0.83725102431146325</c:v>
                </c:pt>
                <c:pt idx="57">
                  <c:v>0.85185028144420916</c:v>
                </c:pt>
                <c:pt idx="58">
                  <c:v>0.86168955571385197</c:v>
                </c:pt>
                <c:pt idx="59">
                  <c:v>0.86624178152802633</c:v>
                </c:pt>
                <c:pt idx="60">
                  <c:v>0.86838981182617336</c:v>
                </c:pt>
                <c:pt idx="61">
                  <c:v>0.86641031341547237</c:v>
                </c:pt>
                <c:pt idx="62">
                  <c:v>0.86443995716090105</c:v>
                </c:pt>
                <c:pt idx="63">
                  <c:v>0.86063925827637799</c:v>
                </c:pt>
                <c:pt idx="64">
                  <c:v>0.86069458403698984</c:v>
                </c:pt>
                <c:pt idx="65">
                  <c:v>0.86286898434255443</c:v>
                </c:pt>
                <c:pt idx="66">
                  <c:v>0.86864176098992707</c:v>
                </c:pt>
                <c:pt idx="67">
                  <c:v>0.87824228502057933</c:v>
                </c:pt>
                <c:pt idx="68">
                  <c:v>0.89027704892259363</c:v>
                </c:pt>
                <c:pt idx="69">
                  <c:v>0.90507173844872679</c:v>
                </c:pt>
                <c:pt idx="70">
                  <c:v>0.92175559362474857</c:v>
                </c:pt>
                <c:pt idx="71">
                  <c:v>0.94092729206281667</c:v>
                </c:pt>
                <c:pt idx="72">
                  <c:v>0.95957803438089839</c:v>
                </c:pt>
                <c:pt idx="73">
                  <c:v>0.97530132110469581</c:v>
                </c:pt>
                <c:pt idx="74">
                  <c:v>0.98827582570749828</c:v>
                </c:pt>
                <c:pt idx="75">
                  <c:v>0.9971976318988609</c:v>
                </c:pt>
                <c:pt idx="76">
                  <c:v>1</c:v>
                </c:pt>
                <c:pt idx="77">
                  <c:v>0.99842900861775108</c:v>
                </c:pt>
                <c:pt idx="78">
                  <c:v>0.99232454571583728</c:v>
                </c:pt>
                <c:pt idx="79">
                  <c:v>0.97975081944873721</c:v>
                </c:pt>
                <c:pt idx="80">
                  <c:v>0.96305577405183629</c:v>
                </c:pt>
                <c:pt idx="81">
                  <c:v>0.94567841960507515</c:v>
                </c:pt>
                <c:pt idx="82">
                  <c:v>0.92308471695500594</c:v>
                </c:pt>
                <c:pt idx="83">
                  <c:v>0.89894754643252284</c:v>
                </c:pt>
                <c:pt idx="84">
                  <c:v>0.87481270770594566</c:v>
                </c:pt>
                <c:pt idx="85">
                  <c:v>0.85042270750760518</c:v>
                </c:pt>
                <c:pt idx="86">
                  <c:v>0.82749150107097968</c:v>
                </c:pt>
                <c:pt idx="87">
                  <c:v>0.80380207071478904</c:v>
                </c:pt>
                <c:pt idx="88">
                  <c:v>0.78283597504549118</c:v>
                </c:pt>
                <c:pt idx="89">
                  <c:v>0.76392312776044258</c:v>
                </c:pt>
                <c:pt idx="90">
                  <c:v>0.74702827236581981</c:v>
                </c:pt>
                <c:pt idx="91">
                  <c:v>0.73452824052815013</c:v>
                </c:pt>
                <c:pt idx="92">
                  <c:v>0.7219532738846397</c:v>
                </c:pt>
                <c:pt idx="93">
                  <c:v>0.7115711686791627</c:v>
                </c:pt>
                <c:pt idx="94">
                  <c:v>0.70359283045768262</c:v>
                </c:pt>
                <c:pt idx="95">
                  <c:v>0.69682376235324361</c:v>
                </c:pt>
                <c:pt idx="96">
                  <c:v>0.6914886967866346</c:v>
                </c:pt>
                <c:pt idx="97">
                  <c:v>0.68517791134413641</c:v>
                </c:pt>
                <c:pt idx="98">
                  <c:v>0.67929979368211968</c:v>
                </c:pt>
                <c:pt idx="99">
                  <c:v>0.67193702997059512</c:v>
                </c:pt>
                <c:pt idx="100">
                  <c:v>0.6636325336350879</c:v>
                </c:pt>
                <c:pt idx="101">
                  <c:v>0.65359545568799227</c:v>
                </c:pt>
                <c:pt idx="102">
                  <c:v>0.64169891971915627</c:v>
                </c:pt>
                <c:pt idx="103">
                  <c:v>0.62873046886977491</c:v>
                </c:pt>
                <c:pt idx="104">
                  <c:v>0.61356414429654127</c:v>
                </c:pt>
                <c:pt idx="105">
                  <c:v>0.59546455255756647</c:v>
                </c:pt>
                <c:pt idx="106">
                  <c:v>0.57696449737491873</c:v>
                </c:pt>
                <c:pt idx="107">
                  <c:v>0.55593733173361792</c:v>
                </c:pt>
                <c:pt idx="108">
                  <c:v>0.53447097676094091</c:v>
                </c:pt>
                <c:pt idx="109">
                  <c:v>0.51382911126133157</c:v>
                </c:pt>
                <c:pt idx="110">
                  <c:v>0.49432567063093757</c:v>
                </c:pt>
                <c:pt idx="111">
                  <c:v>0.4734515626496541</c:v>
                </c:pt>
                <c:pt idx="112">
                  <c:v>0.4535270917777609</c:v>
                </c:pt>
                <c:pt idx="113">
                  <c:v>0.43451525027895666</c:v>
                </c:pt>
                <c:pt idx="114">
                  <c:v>0.41622580861577924</c:v>
                </c:pt>
                <c:pt idx="115">
                  <c:v>0.39854114383327294</c:v>
                </c:pt>
                <c:pt idx="116">
                  <c:v>0.38390894681401361</c:v>
                </c:pt>
                <c:pt idx="117">
                  <c:v>0.37020712719950333</c:v>
                </c:pt>
                <c:pt idx="118">
                  <c:v>0.35849504215072275</c:v>
                </c:pt>
                <c:pt idx="119">
                  <c:v>0.34780203698854917</c:v>
                </c:pt>
                <c:pt idx="120">
                  <c:v>0.33734680128622624</c:v>
                </c:pt>
                <c:pt idx="121">
                  <c:v>0.3282387482206226</c:v>
                </c:pt>
                <c:pt idx="122">
                  <c:v>0.31954183441245548</c:v>
                </c:pt>
                <c:pt idx="123">
                  <c:v>0.31147270239715452</c:v>
                </c:pt>
                <c:pt idx="124">
                  <c:v>0.30347519300824921</c:v>
                </c:pt>
                <c:pt idx="125">
                  <c:v>0.29604233670152491</c:v>
                </c:pt>
                <c:pt idx="126">
                  <c:v>0.28815101024218043</c:v>
                </c:pt>
                <c:pt idx="127">
                  <c:v>0.27977638796088533</c:v>
                </c:pt>
                <c:pt idx="128">
                  <c:v>0.2712356255444846</c:v>
                </c:pt>
                <c:pt idx="129">
                  <c:v>0.26249658067607889</c:v>
                </c:pt>
                <c:pt idx="130">
                  <c:v>0.25360340426222677</c:v>
                </c:pt>
                <c:pt idx="131">
                  <c:v>0.24375059585864323</c:v>
                </c:pt>
                <c:pt idx="132">
                  <c:v>0.23483971428709477</c:v>
                </c:pt>
                <c:pt idx="133">
                  <c:v>0.2256642905582058</c:v>
                </c:pt>
                <c:pt idx="134">
                  <c:v>0.21681834716105078</c:v>
                </c:pt>
                <c:pt idx="135">
                  <c:v>0.20784933108750578</c:v>
                </c:pt>
                <c:pt idx="136">
                  <c:v>0.19892391675871812</c:v>
                </c:pt>
                <c:pt idx="137">
                  <c:v>0.19054711475400851</c:v>
                </c:pt>
                <c:pt idx="138">
                  <c:v>0.18229706542919577</c:v>
                </c:pt>
                <c:pt idx="139">
                  <c:v>0.17461144369131629</c:v>
                </c:pt>
                <c:pt idx="140">
                  <c:v>0.1672737284100787</c:v>
                </c:pt>
                <c:pt idx="141">
                  <c:v>0.1598686460097957</c:v>
                </c:pt>
                <c:pt idx="142">
                  <c:v>0.15321022949164456</c:v>
                </c:pt>
                <c:pt idx="143">
                  <c:v>0.14725936616902394</c:v>
                </c:pt>
                <c:pt idx="144">
                  <c:v>0.14129865198343508</c:v>
                </c:pt>
                <c:pt idx="145">
                  <c:v>0.13569157841896043</c:v>
                </c:pt>
                <c:pt idx="146">
                  <c:v>0.13052965273188641</c:v>
                </c:pt>
                <c:pt idx="147">
                  <c:v>0.12589759065573297</c:v>
                </c:pt>
                <c:pt idx="148">
                  <c:v>0.1217387868827091</c:v>
                </c:pt>
                <c:pt idx="149">
                  <c:v>0.11754995196885393</c:v>
                </c:pt>
                <c:pt idx="150">
                  <c:v>0.11371862762895166</c:v>
                </c:pt>
                <c:pt idx="151">
                  <c:v>0.11000215717657781</c:v>
                </c:pt>
                <c:pt idx="152">
                  <c:v>0.10629685926534635</c:v>
                </c:pt>
                <c:pt idx="153">
                  <c:v>0.10295761726738581</c:v>
                </c:pt>
                <c:pt idx="154">
                  <c:v>9.9780875491576201E-2</c:v>
                </c:pt>
                <c:pt idx="155">
                  <c:v>9.6323689088427977E-2</c:v>
                </c:pt>
                <c:pt idx="156">
                  <c:v>9.3396939539941853E-2</c:v>
                </c:pt>
                <c:pt idx="157">
                  <c:v>9.0409351346753764E-2</c:v>
                </c:pt>
                <c:pt idx="158">
                  <c:v>8.7213888189558456E-2</c:v>
                </c:pt>
                <c:pt idx="159">
                  <c:v>8.4098990588808722E-2</c:v>
                </c:pt>
                <c:pt idx="160">
                  <c:v>8.0787849700314301E-2</c:v>
                </c:pt>
                <c:pt idx="161">
                  <c:v>7.7850704183253738E-2</c:v>
                </c:pt>
                <c:pt idx="162">
                  <c:v>7.4562036404187598E-2</c:v>
                </c:pt>
                <c:pt idx="163">
                  <c:v>7.1732514311879547E-2</c:v>
                </c:pt>
                <c:pt idx="164">
                  <c:v>6.8568591441753757E-2</c:v>
                </c:pt>
                <c:pt idx="165">
                  <c:v>6.5616823253640183E-2</c:v>
                </c:pt>
                <c:pt idx="166">
                  <c:v>6.2458445281891498E-2</c:v>
                </c:pt>
                <c:pt idx="167">
                  <c:v>5.9843243253248496E-2</c:v>
                </c:pt>
                <c:pt idx="168">
                  <c:v>5.68587555295915E-2</c:v>
                </c:pt>
                <c:pt idx="169">
                  <c:v>5.4018035683890887E-2</c:v>
                </c:pt>
                <c:pt idx="170">
                  <c:v>5.1644798573459834E-2</c:v>
                </c:pt>
                <c:pt idx="171">
                  <c:v>4.9289236903228534E-2</c:v>
                </c:pt>
                <c:pt idx="172">
                  <c:v>4.6708582926702352E-2</c:v>
                </c:pt>
                <c:pt idx="173">
                  <c:v>4.4518511622236662E-2</c:v>
                </c:pt>
                <c:pt idx="174">
                  <c:v>4.2595449071273453E-2</c:v>
                </c:pt>
                <c:pt idx="175">
                  <c:v>4.060664685961788E-2</c:v>
                </c:pt>
                <c:pt idx="176">
                  <c:v>3.8881992613620943E-2</c:v>
                </c:pt>
                <c:pt idx="177">
                  <c:v>3.7294620365076754E-2</c:v>
                </c:pt>
                <c:pt idx="178">
                  <c:v>3.5717136750119539E-2</c:v>
                </c:pt>
                <c:pt idx="179">
                  <c:v>3.4405906856047323E-2</c:v>
                </c:pt>
                <c:pt idx="180">
                  <c:v>3.2983368704097953E-2</c:v>
                </c:pt>
                <c:pt idx="181">
                  <c:v>3.1621150488388539E-2</c:v>
                </c:pt>
                <c:pt idx="182">
                  <c:v>3.0542494195478373E-2</c:v>
                </c:pt>
                <c:pt idx="183">
                  <c:v>2.946376078847757E-2</c:v>
                </c:pt>
                <c:pt idx="184">
                  <c:v>2.8298395116781901E-2</c:v>
                </c:pt>
                <c:pt idx="185">
                  <c:v>2.7319009143190215E-2</c:v>
                </c:pt>
                <c:pt idx="186">
                  <c:v>2.6350984911779993E-2</c:v>
                </c:pt>
                <c:pt idx="187">
                  <c:v>2.5485967774116432E-2</c:v>
                </c:pt>
                <c:pt idx="188">
                  <c:v>2.4589979527076981E-2</c:v>
                </c:pt>
                <c:pt idx="189">
                  <c:v>2.3600018620658945E-2</c:v>
                </c:pt>
                <c:pt idx="190">
                  <c:v>2.2784841946678132E-2</c:v>
                </c:pt>
                <c:pt idx="191">
                  <c:v>2.1885505734188574E-2</c:v>
                </c:pt>
                <c:pt idx="192">
                  <c:v>2.1112665034309037E-2</c:v>
                </c:pt>
                <c:pt idx="193">
                  <c:v>2.0177045094714512E-2</c:v>
                </c:pt>
                <c:pt idx="194">
                  <c:v>1.9648968686612124E-2</c:v>
                </c:pt>
                <c:pt idx="195">
                  <c:v>1.8799595343436979E-2</c:v>
                </c:pt>
                <c:pt idx="196">
                  <c:v>1.8176586108958663E-2</c:v>
                </c:pt>
                <c:pt idx="197">
                  <c:v>1.7506790758472571E-2</c:v>
                </c:pt>
                <c:pt idx="198">
                  <c:v>1.6876454961994487E-2</c:v>
                </c:pt>
                <c:pt idx="199">
                  <c:v>1.6134782213237744E-2</c:v>
                </c:pt>
                <c:pt idx="200">
                  <c:v>1.5538297954474679E-2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7-481D-9A65-9B73DDEAD42A}"/>
            </c:ext>
          </c:extLst>
        </c:ser>
        <c:ser>
          <c:idx val="1"/>
          <c:order val="1"/>
          <c:tx>
            <c:v>uncertainties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Graph!$A$3:$A$303</c:f>
              <c:numCache>
                <c:formatCode>General</c:formatCode>
                <c:ptCount val="301"/>
                <c:pt idx="0">
                  <c:v>450</c:v>
                </c:pt>
                <c:pt idx="1">
                  <c:v>451</c:v>
                </c:pt>
                <c:pt idx="2">
                  <c:v>452</c:v>
                </c:pt>
                <c:pt idx="3">
                  <c:v>453</c:v>
                </c:pt>
                <c:pt idx="4">
                  <c:v>454</c:v>
                </c:pt>
                <c:pt idx="5">
                  <c:v>455</c:v>
                </c:pt>
                <c:pt idx="6">
                  <c:v>456</c:v>
                </c:pt>
                <c:pt idx="7">
                  <c:v>457</c:v>
                </c:pt>
                <c:pt idx="8">
                  <c:v>458</c:v>
                </c:pt>
                <c:pt idx="9">
                  <c:v>459</c:v>
                </c:pt>
                <c:pt idx="10">
                  <c:v>460</c:v>
                </c:pt>
                <c:pt idx="11">
                  <c:v>461</c:v>
                </c:pt>
                <c:pt idx="12">
                  <c:v>462</c:v>
                </c:pt>
                <c:pt idx="13">
                  <c:v>463</c:v>
                </c:pt>
                <c:pt idx="14">
                  <c:v>464</c:v>
                </c:pt>
                <c:pt idx="15">
                  <c:v>465</c:v>
                </c:pt>
                <c:pt idx="16">
                  <c:v>466</c:v>
                </c:pt>
                <c:pt idx="17">
                  <c:v>467</c:v>
                </c:pt>
                <c:pt idx="18">
                  <c:v>468</c:v>
                </c:pt>
                <c:pt idx="19">
                  <c:v>469</c:v>
                </c:pt>
                <c:pt idx="20">
                  <c:v>470</c:v>
                </c:pt>
                <c:pt idx="21">
                  <c:v>471</c:v>
                </c:pt>
                <c:pt idx="22">
                  <c:v>472</c:v>
                </c:pt>
                <c:pt idx="23">
                  <c:v>473</c:v>
                </c:pt>
                <c:pt idx="24">
                  <c:v>474</c:v>
                </c:pt>
                <c:pt idx="25">
                  <c:v>475</c:v>
                </c:pt>
                <c:pt idx="26">
                  <c:v>476</c:v>
                </c:pt>
                <c:pt idx="27">
                  <c:v>477</c:v>
                </c:pt>
                <c:pt idx="28">
                  <c:v>478</c:v>
                </c:pt>
                <c:pt idx="29">
                  <c:v>479</c:v>
                </c:pt>
                <c:pt idx="30">
                  <c:v>480</c:v>
                </c:pt>
                <c:pt idx="31">
                  <c:v>481</c:v>
                </c:pt>
                <c:pt idx="32">
                  <c:v>482</c:v>
                </c:pt>
                <c:pt idx="33">
                  <c:v>483</c:v>
                </c:pt>
                <c:pt idx="34">
                  <c:v>484</c:v>
                </c:pt>
                <c:pt idx="35">
                  <c:v>485</c:v>
                </c:pt>
                <c:pt idx="36">
                  <c:v>486</c:v>
                </c:pt>
                <c:pt idx="37">
                  <c:v>487</c:v>
                </c:pt>
                <c:pt idx="38">
                  <c:v>488</c:v>
                </c:pt>
                <c:pt idx="39">
                  <c:v>489</c:v>
                </c:pt>
                <c:pt idx="40">
                  <c:v>490</c:v>
                </c:pt>
                <c:pt idx="41">
                  <c:v>491</c:v>
                </c:pt>
                <c:pt idx="42">
                  <c:v>492</c:v>
                </c:pt>
                <c:pt idx="43">
                  <c:v>493</c:v>
                </c:pt>
                <c:pt idx="44">
                  <c:v>494</c:v>
                </c:pt>
                <c:pt idx="45">
                  <c:v>495</c:v>
                </c:pt>
                <c:pt idx="46">
                  <c:v>496</c:v>
                </c:pt>
                <c:pt idx="47">
                  <c:v>497</c:v>
                </c:pt>
                <c:pt idx="48">
                  <c:v>498</c:v>
                </c:pt>
                <c:pt idx="49">
                  <c:v>499</c:v>
                </c:pt>
                <c:pt idx="50">
                  <c:v>500</c:v>
                </c:pt>
                <c:pt idx="51">
                  <c:v>501</c:v>
                </c:pt>
                <c:pt idx="52">
                  <c:v>502</c:v>
                </c:pt>
                <c:pt idx="53">
                  <c:v>503</c:v>
                </c:pt>
                <c:pt idx="54">
                  <c:v>504</c:v>
                </c:pt>
                <c:pt idx="55">
                  <c:v>505</c:v>
                </c:pt>
                <c:pt idx="56">
                  <c:v>506</c:v>
                </c:pt>
                <c:pt idx="57">
                  <c:v>507</c:v>
                </c:pt>
                <c:pt idx="58">
                  <c:v>508</c:v>
                </c:pt>
                <c:pt idx="59">
                  <c:v>509</c:v>
                </c:pt>
                <c:pt idx="60">
                  <c:v>510</c:v>
                </c:pt>
                <c:pt idx="61">
                  <c:v>511</c:v>
                </c:pt>
                <c:pt idx="62">
                  <c:v>512</c:v>
                </c:pt>
                <c:pt idx="63">
                  <c:v>513</c:v>
                </c:pt>
                <c:pt idx="64">
                  <c:v>514</c:v>
                </c:pt>
                <c:pt idx="65">
                  <c:v>515</c:v>
                </c:pt>
                <c:pt idx="66">
                  <c:v>516</c:v>
                </c:pt>
                <c:pt idx="67">
                  <c:v>517</c:v>
                </c:pt>
                <c:pt idx="68">
                  <c:v>518</c:v>
                </c:pt>
                <c:pt idx="69">
                  <c:v>519</c:v>
                </c:pt>
                <c:pt idx="70">
                  <c:v>520</c:v>
                </c:pt>
                <c:pt idx="71">
                  <c:v>521</c:v>
                </c:pt>
                <c:pt idx="72">
                  <c:v>522</c:v>
                </c:pt>
                <c:pt idx="73">
                  <c:v>523</c:v>
                </c:pt>
                <c:pt idx="74">
                  <c:v>524</c:v>
                </c:pt>
                <c:pt idx="75">
                  <c:v>525</c:v>
                </c:pt>
                <c:pt idx="76">
                  <c:v>526</c:v>
                </c:pt>
                <c:pt idx="77">
                  <c:v>527</c:v>
                </c:pt>
                <c:pt idx="78">
                  <c:v>528</c:v>
                </c:pt>
                <c:pt idx="79">
                  <c:v>529</c:v>
                </c:pt>
                <c:pt idx="80">
                  <c:v>530</c:v>
                </c:pt>
                <c:pt idx="81">
                  <c:v>531</c:v>
                </c:pt>
                <c:pt idx="82">
                  <c:v>532</c:v>
                </c:pt>
                <c:pt idx="83">
                  <c:v>533</c:v>
                </c:pt>
                <c:pt idx="84">
                  <c:v>534</c:v>
                </c:pt>
                <c:pt idx="85">
                  <c:v>535</c:v>
                </c:pt>
                <c:pt idx="86">
                  <c:v>536</c:v>
                </c:pt>
                <c:pt idx="87">
                  <c:v>537</c:v>
                </c:pt>
                <c:pt idx="88">
                  <c:v>538</c:v>
                </c:pt>
                <c:pt idx="89">
                  <c:v>539</c:v>
                </c:pt>
                <c:pt idx="90">
                  <c:v>540</c:v>
                </c:pt>
                <c:pt idx="91">
                  <c:v>541</c:v>
                </c:pt>
                <c:pt idx="92">
                  <c:v>542</c:v>
                </c:pt>
                <c:pt idx="93">
                  <c:v>543</c:v>
                </c:pt>
                <c:pt idx="94">
                  <c:v>544</c:v>
                </c:pt>
                <c:pt idx="95">
                  <c:v>545</c:v>
                </c:pt>
                <c:pt idx="96">
                  <c:v>546</c:v>
                </c:pt>
                <c:pt idx="97">
                  <c:v>547</c:v>
                </c:pt>
                <c:pt idx="98">
                  <c:v>548</c:v>
                </c:pt>
                <c:pt idx="99">
                  <c:v>549</c:v>
                </c:pt>
                <c:pt idx="100">
                  <c:v>550</c:v>
                </c:pt>
                <c:pt idx="101">
                  <c:v>551</c:v>
                </c:pt>
                <c:pt idx="102">
                  <c:v>552</c:v>
                </c:pt>
                <c:pt idx="103">
                  <c:v>553</c:v>
                </c:pt>
                <c:pt idx="104">
                  <c:v>554</c:v>
                </c:pt>
                <c:pt idx="105">
                  <c:v>555</c:v>
                </c:pt>
                <c:pt idx="106">
                  <c:v>556</c:v>
                </c:pt>
                <c:pt idx="107">
                  <c:v>557</c:v>
                </c:pt>
                <c:pt idx="108">
                  <c:v>558</c:v>
                </c:pt>
                <c:pt idx="109">
                  <c:v>559</c:v>
                </c:pt>
                <c:pt idx="110">
                  <c:v>560</c:v>
                </c:pt>
                <c:pt idx="111">
                  <c:v>561</c:v>
                </c:pt>
                <c:pt idx="112">
                  <c:v>562</c:v>
                </c:pt>
                <c:pt idx="113">
                  <c:v>563</c:v>
                </c:pt>
                <c:pt idx="114">
                  <c:v>564</c:v>
                </c:pt>
                <c:pt idx="115">
                  <c:v>565</c:v>
                </c:pt>
                <c:pt idx="116">
                  <c:v>566</c:v>
                </c:pt>
                <c:pt idx="117">
                  <c:v>567</c:v>
                </c:pt>
                <c:pt idx="118">
                  <c:v>568</c:v>
                </c:pt>
                <c:pt idx="119">
                  <c:v>569</c:v>
                </c:pt>
                <c:pt idx="120">
                  <c:v>570</c:v>
                </c:pt>
                <c:pt idx="121">
                  <c:v>571</c:v>
                </c:pt>
                <c:pt idx="122">
                  <c:v>572</c:v>
                </c:pt>
                <c:pt idx="123">
                  <c:v>573</c:v>
                </c:pt>
                <c:pt idx="124">
                  <c:v>574</c:v>
                </c:pt>
                <c:pt idx="125">
                  <c:v>575</c:v>
                </c:pt>
                <c:pt idx="126">
                  <c:v>576</c:v>
                </c:pt>
                <c:pt idx="127">
                  <c:v>577</c:v>
                </c:pt>
                <c:pt idx="128">
                  <c:v>578</c:v>
                </c:pt>
                <c:pt idx="129">
                  <c:v>579</c:v>
                </c:pt>
                <c:pt idx="130">
                  <c:v>580</c:v>
                </c:pt>
                <c:pt idx="131">
                  <c:v>581</c:v>
                </c:pt>
                <c:pt idx="132">
                  <c:v>582</c:v>
                </c:pt>
                <c:pt idx="133">
                  <c:v>583</c:v>
                </c:pt>
                <c:pt idx="134">
                  <c:v>584</c:v>
                </c:pt>
                <c:pt idx="135">
                  <c:v>585</c:v>
                </c:pt>
                <c:pt idx="136">
                  <c:v>586</c:v>
                </c:pt>
                <c:pt idx="137">
                  <c:v>587</c:v>
                </c:pt>
                <c:pt idx="138">
                  <c:v>588</c:v>
                </c:pt>
                <c:pt idx="139">
                  <c:v>589</c:v>
                </c:pt>
                <c:pt idx="140">
                  <c:v>590</c:v>
                </c:pt>
                <c:pt idx="141">
                  <c:v>591</c:v>
                </c:pt>
                <c:pt idx="142">
                  <c:v>592</c:v>
                </c:pt>
                <c:pt idx="143">
                  <c:v>593</c:v>
                </c:pt>
                <c:pt idx="144">
                  <c:v>594</c:v>
                </c:pt>
                <c:pt idx="145">
                  <c:v>595</c:v>
                </c:pt>
                <c:pt idx="146">
                  <c:v>596</c:v>
                </c:pt>
                <c:pt idx="147">
                  <c:v>597</c:v>
                </c:pt>
                <c:pt idx="148">
                  <c:v>598</c:v>
                </c:pt>
                <c:pt idx="149">
                  <c:v>599</c:v>
                </c:pt>
                <c:pt idx="150">
                  <c:v>600</c:v>
                </c:pt>
                <c:pt idx="151">
                  <c:v>601</c:v>
                </c:pt>
                <c:pt idx="152">
                  <c:v>602</c:v>
                </c:pt>
                <c:pt idx="153">
                  <c:v>603</c:v>
                </c:pt>
                <c:pt idx="154">
                  <c:v>604</c:v>
                </c:pt>
                <c:pt idx="155">
                  <c:v>605</c:v>
                </c:pt>
                <c:pt idx="156">
                  <c:v>606</c:v>
                </c:pt>
                <c:pt idx="157">
                  <c:v>607</c:v>
                </c:pt>
                <c:pt idx="158">
                  <c:v>608</c:v>
                </c:pt>
                <c:pt idx="159">
                  <c:v>609</c:v>
                </c:pt>
                <c:pt idx="160">
                  <c:v>610</c:v>
                </c:pt>
                <c:pt idx="161">
                  <c:v>611</c:v>
                </c:pt>
                <c:pt idx="162">
                  <c:v>612</c:v>
                </c:pt>
                <c:pt idx="163">
                  <c:v>613</c:v>
                </c:pt>
                <c:pt idx="164">
                  <c:v>614</c:v>
                </c:pt>
                <c:pt idx="165">
                  <c:v>615</c:v>
                </c:pt>
                <c:pt idx="166">
                  <c:v>616</c:v>
                </c:pt>
                <c:pt idx="167">
                  <c:v>617</c:v>
                </c:pt>
                <c:pt idx="168">
                  <c:v>618</c:v>
                </c:pt>
                <c:pt idx="169">
                  <c:v>619</c:v>
                </c:pt>
                <c:pt idx="170">
                  <c:v>620</c:v>
                </c:pt>
                <c:pt idx="171">
                  <c:v>621</c:v>
                </c:pt>
                <c:pt idx="172">
                  <c:v>622</c:v>
                </c:pt>
                <c:pt idx="173">
                  <c:v>623</c:v>
                </c:pt>
                <c:pt idx="174">
                  <c:v>624</c:v>
                </c:pt>
                <c:pt idx="175">
                  <c:v>625</c:v>
                </c:pt>
                <c:pt idx="176">
                  <c:v>626</c:v>
                </c:pt>
                <c:pt idx="177">
                  <c:v>627</c:v>
                </c:pt>
                <c:pt idx="178">
                  <c:v>628</c:v>
                </c:pt>
                <c:pt idx="179">
                  <c:v>629</c:v>
                </c:pt>
                <c:pt idx="180">
                  <c:v>630</c:v>
                </c:pt>
                <c:pt idx="181">
                  <c:v>631</c:v>
                </c:pt>
                <c:pt idx="182">
                  <c:v>632</c:v>
                </c:pt>
                <c:pt idx="183">
                  <c:v>633</c:v>
                </c:pt>
                <c:pt idx="184">
                  <c:v>634</c:v>
                </c:pt>
                <c:pt idx="185">
                  <c:v>635</c:v>
                </c:pt>
                <c:pt idx="186">
                  <c:v>636</c:v>
                </c:pt>
                <c:pt idx="187">
                  <c:v>637</c:v>
                </c:pt>
                <c:pt idx="188">
                  <c:v>638</c:v>
                </c:pt>
                <c:pt idx="189">
                  <c:v>639</c:v>
                </c:pt>
                <c:pt idx="190">
                  <c:v>640</c:v>
                </c:pt>
                <c:pt idx="191">
                  <c:v>641</c:v>
                </c:pt>
                <c:pt idx="192">
                  <c:v>642</c:v>
                </c:pt>
                <c:pt idx="193">
                  <c:v>643</c:v>
                </c:pt>
                <c:pt idx="194">
                  <c:v>644</c:v>
                </c:pt>
                <c:pt idx="195">
                  <c:v>645</c:v>
                </c:pt>
                <c:pt idx="196">
                  <c:v>646</c:v>
                </c:pt>
                <c:pt idx="197">
                  <c:v>647</c:v>
                </c:pt>
                <c:pt idx="198">
                  <c:v>648</c:v>
                </c:pt>
                <c:pt idx="199">
                  <c:v>649</c:v>
                </c:pt>
                <c:pt idx="200">
                  <c:v>650</c:v>
                </c:pt>
              </c:numCache>
            </c:numRef>
          </c:xVal>
          <c:yVal>
            <c:numRef>
              <c:f>Graph!$D$3:$D$303</c:f>
              <c:numCache>
                <c:formatCode>0.0000</c:formatCode>
                <c:ptCount val="301"/>
                <c:pt idx="0">
                  <c:v>4.972457427333181E-4</c:v>
                </c:pt>
                <c:pt idx="1">
                  <c:v>5.8140010223375817E-4</c:v>
                </c:pt>
                <c:pt idx="2">
                  <c:v>6.8613415270063537E-4</c:v>
                </c:pt>
                <c:pt idx="3">
                  <c:v>8.2761648476094556E-4</c:v>
                </c:pt>
                <c:pt idx="4">
                  <c:v>9.5515140293670365E-4</c:v>
                </c:pt>
                <c:pt idx="5">
                  <c:v>1.1694174541939453E-3</c:v>
                </c:pt>
                <c:pt idx="6">
                  <c:v>1.3695866660110823E-3</c:v>
                </c:pt>
                <c:pt idx="7">
                  <c:v>1.6311993168335341E-3</c:v>
                </c:pt>
                <c:pt idx="8">
                  <c:v>1.9650475241938564E-3</c:v>
                </c:pt>
                <c:pt idx="9">
                  <c:v>2.2884444128200669E-3</c:v>
                </c:pt>
                <c:pt idx="10">
                  <c:v>2.8184812577240321E-3</c:v>
                </c:pt>
                <c:pt idx="11">
                  <c:v>3.3921310737840028E-3</c:v>
                </c:pt>
                <c:pt idx="12">
                  <c:v>4.0895496180431831E-3</c:v>
                </c:pt>
                <c:pt idx="13">
                  <c:v>4.9102007661308089E-3</c:v>
                </c:pt>
                <c:pt idx="14">
                  <c:v>5.998245467138918E-3</c:v>
                </c:pt>
                <c:pt idx="15">
                  <c:v>7.3343887997164162E-3</c:v>
                </c:pt>
                <c:pt idx="16">
                  <c:v>8.7637873579895151E-3</c:v>
                </c:pt>
                <c:pt idx="17">
                  <c:v>1.0606423953340193E-2</c:v>
                </c:pt>
                <c:pt idx="18">
                  <c:v>1.2613056680379459E-2</c:v>
                </c:pt>
                <c:pt idx="19">
                  <c:v>1.5108010476783267E-2</c:v>
                </c:pt>
                <c:pt idx="20">
                  <c:v>1.797685427005832E-2</c:v>
                </c:pt>
                <c:pt idx="21">
                  <c:v>2.122499611343847E-2</c:v>
                </c:pt>
                <c:pt idx="22">
                  <c:v>2.5137756327649738E-2</c:v>
                </c:pt>
                <c:pt idx="23">
                  <c:v>2.9323511483665344E-2</c:v>
                </c:pt>
                <c:pt idx="24">
                  <c:v>3.456536708667679E-2</c:v>
                </c:pt>
                <c:pt idx="25">
                  <c:v>4.0712886946726964E-2</c:v>
                </c:pt>
                <c:pt idx="26">
                  <c:v>4.7064534500739809E-2</c:v>
                </c:pt>
                <c:pt idx="27">
                  <c:v>5.4787672238161431E-2</c:v>
                </c:pt>
                <c:pt idx="28">
                  <c:v>6.3212371362014685E-2</c:v>
                </c:pt>
                <c:pt idx="29">
                  <c:v>7.3500575955034828E-2</c:v>
                </c:pt>
                <c:pt idx="30">
                  <c:v>8.4922509954995049E-2</c:v>
                </c:pt>
                <c:pt idx="31">
                  <c:v>9.7192864745447222E-2</c:v>
                </c:pt>
                <c:pt idx="32">
                  <c:v>0.11114665846303193</c:v>
                </c:pt>
                <c:pt idx="33">
                  <c:v>0.12678326509722046</c:v>
                </c:pt>
                <c:pt idx="34">
                  <c:v>0.14308851178221099</c:v>
                </c:pt>
                <c:pt idx="35">
                  <c:v>0.16146355423268083</c:v>
                </c:pt>
                <c:pt idx="36">
                  <c:v>0.17999948237770416</c:v>
                </c:pt>
                <c:pt idx="37">
                  <c:v>0.20167484987784798</c:v>
                </c:pt>
                <c:pt idx="38">
                  <c:v>0.22427933250263501</c:v>
                </c:pt>
                <c:pt idx="39">
                  <c:v>0.24748572857438672</c:v>
                </c:pt>
                <c:pt idx="40">
                  <c:v>0.27390730438933658</c:v>
                </c:pt>
                <c:pt idx="41">
                  <c:v>0.30279258260493747</c:v>
                </c:pt>
                <c:pt idx="42">
                  <c:v>0.33346643152885491</c:v>
                </c:pt>
                <c:pt idx="43">
                  <c:v>0.36806818424174376</c:v>
                </c:pt>
                <c:pt idx="44">
                  <c:v>0.40583623649174677</c:v>
                </c:pt>
                <c:pt idx="45">
                  <c:v>0.44353767054381577</c:v>
                </c:pt>
                <c:pt idx="46">
                  <c:v>0.48711875875943178</c:v>
                </c:pt>
                <c:pt idx="47">
                  <c:v>0.53309329299394093</c:v>
                </c:pt>
                <c:pt idx="48">
                  <c:v>0.57841914511476966</c:v>
                </c:pt>
                <c:pt idx="49">
                  <c:v>0.62683402245827224</c:v>
                </c:pt>
                <c:pt idx="50">
                  <c:v>0.67486171141065165</c:v>
                </c:pt>
                <c:pt idx="51">
                  <c:v>0.71890867001008318</c:v>
                </c:pt>
                <c:pt idx="52">
                  <c:v>0.76152667239389626</c:v>
                </c:pt>
                <c:pt idx="53">
                  <c:v>0.79958438249090702</c:v>
                </c:pt>
                <c:pt idx="54">
                  <c:v>0.83158221620230732</c:v>
                </c:pt>
                <c:pt idx="55">
                  <c:v>0.8590349393910468</c:v>
                </c:pt>
                <c:pt idx="56">
                  <c:v>0.87897069198869027</c:v>
                </c:pt>
                <c:pt idx="57">
                  <c:v>0.893281836139875</c:v>
                </c:pt>
                <c:pt idx="58">
                  <c:v>0.90263887768308371</c:v>
                </c:pt>
                <c:pt idx="59">
                  <c:v>0.90646866064483878</c:v>
                </c:pt>
                <c:pt idx="60">
                  <c:v>0.9078094462938856</c:v>
                </c:pt>
                <c:pt idx="61">
                  <c:v>0.90488913691281081</c:v>
                </c:pt>
                <c:pt idx="62">
                  <c:v>0.90198924909891254</c:v>
                </c:pt>
                <c:pt idx="63">
                  <c:v>0.89723370097201549</c:v>
                </c:pt>
                <c:pt idx="64">
                  <c:v>0.89652620952239337</c:v>
                </c:pt>
                <c:pt idx="65">
                  <c:v>0.89805614989921378</c:v>
                </c:pt>
                <c:pt idx="66">
                  <c:v>0.90337120576233487</c:v>
                </c:pt>
                <c:pt idx="67">
                  <c:v>0.91270706041146821</c:v>
                </c:pt>
                <c:pt idx="68">
                  <c:v>0.92461111738802826</c:v>
                </c:pt>
                <c:pt idx="69">
                  <c:v>0.93943275490522238</c:v>
                </c:pt>
                <c:pt idx="70">
                  <c:v>0.95627244512416698</c:v>
                </c:pt>
                <c:pt idx="71">
                  <c:v>0.97575960614685198</c:v>
                </c:pt>
                <c:pt idx="72">
                  <c:v>0.99478439422883991</c:v>
                </c:pt>
                <c:pt idx="73">
                  <c:v>1.0108593125285372</c:v>
                </c:pt>
                <c:pt idx="74">
                  <c:v>1.024181598834973</c:v>
                </c:pt>
                <c:pt idx="75">
                  <c:v>1.0334010155799103</c:v>
                </c:pt>
                <c:pt idx="76">
                  <c:v>1.0363708253919917</c:v>
                </c:pt>
                <c:pt idx="77">
                  <c:v>1.0348944396076731</c:v>
                </c:pt>
                <c:pt idx="78">
                  <c:v>1.0287922826852074</c:v>
                </c:pt>
                <c:pt idx="79">
                  <c:v>1.0160408953681657</c:v>
                </c:pt>
                <c:pt idx="80">
                  <c:v>0.99905632782804854</c:v>
                </c:pt>
                <c:pt idx="81">
                  <c:v>0.98138471527620241</c:v>
                </c:pt>
                <c:pt idx="82">
                  <c:v>0.95830985568060334</c:v>
                </c:pt>
                <c:pt idx="83">
                  <c:v>0.93362414566415397</c:v>
                </c:pt>
                <c:pt idx="84">
                  <c:v>0.90891968116710575</c:v>
                </c:pt>
                <c:pt idx="85">
                  <c:v>0.88392296460957609</c:v>
                </c:pt>
                <c:pt idx="86">
                  <c:v>0.86041316876014962</c:v>
                </c:pt>
                <c:pt idx="87">
                  <c:v>0.83607692345853502</c:v>
                </c:pt>
                <c:pt idx="88">
                  <c:v>0.81453824814410258</c:v>
                </c:pt>
                <c:pt idx="89">
                  <c:v>0.79509617426294343</c:v>
                </c:pt>
                <c:pt idx="90">
                  <c:v>0.77772315912667145</c:v>
                </c:pt>
                <c:pt idx="91">
                  <c:v>0.76489453264017249</c:v>
                </c:pt>
                <c:pt idx="92">
                  <c:v>0.75196585750169764</c:v>
                </c:pt>
                <c:pt idx="93">
                  <c:v>0.74129568928230305</c:v>
                </c:pt>
                <c:pt idx="94">
                  <c:v>0.73310950345648573</c:v>
                </c:pt>
                <c:pt idx="95">
                  <c:v>0.72616860867896271</c:v>
                </c:pt>
                <c:pt idx="96">
                  <c:v>0.72072057459247652</c:v>
                </c:pt>
                <c:pt idx="97">
                  <c:v>0.71424118637770628</c:v>
                </c:pt>
                <c:pt idx="98">
                  <c:v>0.7082160644094635</c:v>
                </c:pt>
                <c:pt idx="99">
                  <c:v>0.70064067334345725</c:v>
                </c:pt>
                <c:pt idx="100">
                  <c:v>0.69208945302432767</c:v>
                </c:pt>
                <c:pt idx="101">
                  <c:v>0.68173727487038283</c:v>
                </c:pt>
                <c:pt idx="102">
                  <c:v>0.66946361361562656</c:v>
                </c:pt>
                <c:pt idx="103">
                  <c:v>0.65607811030097551</c:v>
                </c:pt>
                <c:pt idx="104">
                  <c:v>0.64041627903213383</c:v>
                </c:pt>
                <c:pt idx="105">
                  <c:v>0.62171453752803107</c:v>
                </c:pt>
                <c:pt idx="106">
                  <c:v>0.60259321643567931</c:v>
                </c:pt>
                <c:pt idx="107">
                  <c:v>0.58085943634231685</c:v>
                </c:pt>
                <c:pt idx="108">
                  <c:v>0.55867622703142095</c:v>
                </c:pt>
                <c:pt idx="109">
                  <c:v>0.53735868089406802</c:v>
                </c:pt>
                <c:pt idx="110">
                  <c:v>0.51724388269486143</c:v>
                </c:pt>
                <c:pt idx="111">
                  <c:v>0.49570049555541162</c:v>
                </c:pt>
                <c:pt idx="112">
                  <c:v>0.47514881120492231</c:v>
                </c:pt>
                <c:pt idx="113">
                  <c:v>0.45555682024865513</c:v>
                </c:pt>
                <c:pt idx="114">
                  <c:v>0.43671658052923823</c:v>
                </c:pt>
                <c:pt idx="115">
                  <c:v>0.41850532080584574</c:v>
                </c:pt>
                <c:pt idx="116">
                  <c:v>0.40348942683031769</c:v>
                </c:pt>
                <c:pt idx="117">
                  <c:v>0.3894439753238127</c:v>
                </c:pt>
                <c:pt idx="118">
                  <c:v>0.37747563290741254</c:v>
                </c:pt>
                <c:pt idx="119">
                  <c:v>0.36657252770305632</c:v>
                </c:pt>
                <c:pt idx="120">
                  <c:v>0.3559017055510682</c:v>
                </c:pt>
                <c:pt idx="121">
                  <c:v>0.34663617589072393</c:v>
                </c:pt>
                <c:pt idx="122">
                  <c:v>0.33778000134748359</c:v>
                </c:pt>
                <c:pt idx="123">
                  <c:v>0.32956388150158977</c:v>
                </c:pt>
                <c:pt idx="124">
                  <c:v>0.3214007390668509</c:v>
                </c:pt>
                <c:pt idx="125">
                  <c:v>0.31380136125742347</c:v>
                </c:pt>
                <c:pt idx="126">
                  <c:v>0.30568998012286158</c:v>
                </c:pt>
                <c:pt idx="127">
                  <c:v>0.29703035105664383</c:v>
                </c:pt>
                <c:pt idx="128">
                  <c:v>0.2881592955374393</c:v>
                </c:pt>
                <c:pt idx="129">
                  <c:v>0.27904596561580602</c:v>
                </c:pt>
                <c:pt idx="130">
                  <c:v>0.26973113835367912</c:v>
                </c:pt>
                <c:pt idx="131">
                  <c:v>0.25936228984754189</c:v>
                </c:pt>
                <c:pt idx="132">
                  <c:v>0.24996343977144894</c:v>
                </c:pt>
                <c:pt idx="133">
                  <c:v>0.24025554740119678</c:v>
                </c:pt>
                <c:pt idx="134">
                  <c:v>0.23086640324006455</c:v>
                </c:pt>
                <c:pt idx="135">
                  <c:v>0.22132939526523507</c:v>
                </c:pt>
                <c:pt idx="136">
                  <c:v>0.21181341307934504</c:v>
                </c:pt>
                <c:pt idx="137">
                  <c:v>0.20286735218438573</c:v>
                </c:pt>
                <c:pt idx="138">
                  <c:v>0.19404200782552322</c:v>
                </c:pt>
                <c:pt idx="139">
                  <c:v>0.18580826551620411</c:v>
                </c:pt>
                <c:pt idx="140">
                  <c:v>0.17793829179296797</c:v>
                </c:pt>
                <c:pt idx="141">
                  <c:v>0.1699958404196539</c:v>
                </c:pt>
                <c:pt idx="142">
                  <c:v>0.16284457859396445</c:v>
                </c:pt>
                <c:pt idx="143">
                  <c:v>0.15644700913509543</c:v>
                </c:pt>
                <c:pt idx="144">
                  <c:v>0.15004406255565</c:v>
                </c:pt>
                <c:pt idx="145">
                  <c:v>0.14402161787829312</c:v>
                </c:pt>
                <c:pt idx="146">
                  <c:v>0.13847964217031375</c:v>
                </c:pt>
                <c:pt idx="147">
                  <c:v>0.13350768562572779</c:v>
                </c:pt>
                <c:pt idx="148">
                  <c:v>0.12904605173335931</c:v>
                </c:pt>
                <c:pt idx="149">
                  <c:v>0.12456293953499013</c:v>
                </c:pt>
                <c:pt idx="150">
                  <c:v>0.12046842223759094</c:v>
                </c:pt>
                <c:pt idx="151">
                  <c:v>0.11650541442738975</c:v>
                </c:pt>
                <c:pt idx="152">
                  <c:v>0.11256495253752945</c:v>
                </c:pt>
                <c:pt idx="153">
                  <c:v>0.10902172829302159</c:v>
                </c:pt>
                <c:pt idx="154">
                  <c:v>0.10565946462427933</c:v>
                </c:pt>
                <c:pt idx="155">
                  <c:v>0.10201026122991083</c:v>
                </c:pt>
                <c:pt idx="156">
                  <c:v>9.8931903243377847E-2</c:v>
                </c:pt>
                <c:pt idx="157">
                  <c:v>9.5795548260971627E-2</c:v>
                </c:pt>
                <c:pt idx="158">
                  <c:v>9.2446349410668066E-2</c:v>
                </c:pt>
                <c:pt idx="159">
                  <c:v>8.9187891743725295E-2</c:v>
                </c:pt>
                <c:pt idx="160">
                  <c:v>8.5727190870446876E-2</c:v>
                </c:pt>
                <c:pt idx="161">
                  <c:v>8.266492742757886E-2</c:v>
                </c:pt>
                <c:pt idx="162">
                  <c:v>7.9232988774608867E-2</c:v>
                </c:pt>
                <c:pt idx="163">
                  <c:v>7.6288888259102156E-2</c:v>
                </c:pt>
                <c:pt idx="164">
                  <c:v>7.2987323856604225E-2</c:v>
                </c:pt>
                <c:pt idx="165">
                  <c:v>6.9910291945342595E-2</c:v>
                </c:pt>
                <c:pt idx="166">
                  <c:v>6.6609497387986147E-2</c:v>
                </c:pt>
                <c:pt idx="167">
                  <c:v>6.3884321259389393E-2</c:v>
                </c:pt>
                <c:pt idx="168">
                  <c:v>6.0759789718771065E-2</c:v>
                </c:pt>
                <c:pt idx="169">
                  <c:v>5.7783210873329001E-2</c:v>
                </c:pt>
                <c:pt idx="170">
                  <c:v>5.5299336221217688E-2</c:v>
                </c:pt>
                <c:pt idx="171">
                  <c:v>5.2828505782799684E-2</c:v>
                </c:pt>
                <c:pt idx="172">
                  <c:v>5.0108902006553054E-2</c:v>
                </c:pt>
                <c:pt idx="173">
                  <c:v>4.7800146372388636E-2</c:v>
                </c:pt>
                <c:pt idx="174">
                  <c:v>4.5771402905746744E-2</c:v>
                </c:pt>
                <c:pt idx="175">
                  <c:v>4.3664766676012497E-2</c:v>
                </c:pt>
                <c:pt idx="176">
                  <c:v>4.1835576936191859E-2</c:v>
                </c:pt>
                <c:pt idx="177">
                  <c:v>4.0148756716387603E-2</c:v>
                </c:pt>
                <c:pt idx="178">
                  <c:v>3.8466876278730973E-2</c:v>
                </c:pt>
                <c:pt idx="179">
                  <c:v>3.7067625145968577E-2</c:v>
                </c:pt>
                <c:pt idx="180">
                  <c:v>3.5543822350192565E-2</c:v>
                </c:pt>
                <c:pt idx="181">
                  <c:v>3.4081952005239217E-2</c:v>
                </c:pt>
                <c:pt idx="182">
                  <c:v>3.2922702894715862E-2</c:v>
                </c:pt>
                <c:pt idx="183">
                  <c:v>3.1761370113273318E-2</c:v>
                </c:pt>
                <c:pt idx="184">
                  <c:v>3.0504843494375183E-2</c:v>
                </c:pt>
                <c:pt idx="185">
                  <c:v>2.9448156493740933E-2</c:v>
                </c:pt>
                <c:pt idx="186">
                  <c:v>2.8403108655520943E-2</c:v>
                </c:pt>
                <c:pt idx="187">
                  <c:v>2.7469590485898754E-2</c:v>
                </c:pt>
                <c:pt idx="188">
                  <c:v>2.6503017779133668E-2</c:v>
                </c:pt>
                <c:pt idx="189">
                  <c:v>2.5435910466209521E-2</c:v>
                </c:pt>
                <c:pt idx="190">
                  <c:v>2.4558048123240205E-2</c:v>
                </c:pt>
                <c:pt idx="191">
                  <c:v>2.3590306165457098E-2</c:v>
                </c:pt>
                <c:pt idx="192">
                  <c:v>2.275994974027535E-2</c:v>
                </c:pt>
                <c:pt idx="193">
                  <c:v>2.175507545466937E-2</c:v>
                </c:pt>
                <c:pt idx="194">
                  <c:v>2.1190828736851294E-2</c:v>
                </c:pt>
                <c:pt idx="195">
                  <c:v>2.0281607089553438E-2</c:v>
                </c:pt>
                <c:pt idx="196">
                  <c:v>1.9617991782575849E-2</c:v>
                </c:pt>
                <c:pt idx="197">
                  <c:v>1.8906456920553406E-2</c:v>
                </c:pt>
                <c:pt idx="198">
                  <c:v>1.8240230602837835E-2</c:v>
                </c:pt>
                <c:pt idx="199">
                  <c:v>1.74576152796674E-2</c:v>
                </c:pt>
                <c:pt idx="200">
                  <c:v>1.6837701803784282E-2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97-481D-9A65-9B73DDEAD42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Graph!$A$3:$A$303</c:f>
              <c:numCache>
                <c:formatCode>General</c:formatCode>
                <c:ptCount val="301"/>
                <c:pt idx="0">
                  <c:v>450</c:v>
                </c:pt>
                <c:pt idx="1">
                  <c:v>451</c:v>
                </c:pt>
                <c:pt idx="2">
                  <c:v>452</c:v>
                </c:pt>
                <c:pt idx="3">
                  <c:v>453</c:v>
                </c:pt>
                <c:pt idx="4">
                  <c:v>454</c:v>
                </c:pt>
                <c:pt idx="5">
                  <c:v>455</c:v>
                </c:pt>
                <c:pt idx="6">
                  <c:v>456</c:v>
                </c:pt>
                <c:pt idx="7">
                  <c:v>457</c:v>
                </c:pt>
                <c:pt idx="8">
                  <c:v>458</c:v>
                </c:pt>
                <c:pt idx="9">
                  <c:v>459</c:v>
                </c:pt>
                <c:pt idx="10">
                  <c:v>460</c:v>
                </c:pt>
                <c:pt idx="11">
                  <c:v>461</c:v>
                </c:pt>
                <c:pt idx="12">
                  <c:v>462</c:v>
                </c:pt>
                <c:pt idx="13">
                  <c:v>463</c:v>
                </c:pt>
                <c:pt idx="14">
                  <c:v>464</c:v>
                </c:pt>
                <c:pt idx="15">
                  <c:v>465</c:v>
                </c:pt>
                <c:pt idx="16">
                  <c:v>466</c:v>
                </c:pt>
                <c:pt idx="17">
                  <c:v>467</c:v>
                </c:pt>
                <c:pt idx="18">
                  <c:v>468</c:v>
                </c:pt>
                <c:pt idx="19">
                  <c:v>469</c:v>
                </c:pt>
                <c:pt idx="20">
                  <c:v>470</c:v>
                </c:pt>
                <c:pt idx="21">
                  <c:v>471</c:v>
                </c:pt>
                <c:pt idx="22">
                  <c:v>472</c:v>
                </c:pt>
                <c:pt idx="23">
                  <c:v>473</c:v>
                </c:pt>
                <c:pt idx="24">
                  <c:v>474</c:v>
                </c:pt>
                <c:pt idx="25">
                  <c:v>475</c:v>
                </c:pt>
                <c:pt idx="26">
                  <c:v>476</c:v>
                </c:pt>
                <c:pt idx="27">
                  <c:v>477</c:v>
                </c:pt>
                <c:pt idx="28">
                  <c:v>478</c:v>
                </c:pt>
                <c:pt idx="29">
                  <c:v>479</c:v>
                </c:pt>
                <c:pt idx="30">
                  <c:v>480</c:v>
                </c:pt>
                <c:pt idx="31">
                  <c:v>481</c:v>
                </c:pt>
                <c:pt idx="32">
                  <c:v>482</c:v>
                </c:pt>
                <c:pt idx="33">
                  <c:v>483</c:v>
                </c:pt>
                <c:pt idx="34">
                  <c:v>484</c:v>
                </c:pt>
                <c:pt idx="35">
                  <c:v>485</c:v>
                </c:pt>
                <c:pt idx="36">
                  <c:v>486</c:v>
                </c:pt>
                <c:pt idx="37">
                  <c:v>487</c:v>
                </c:pt>
                <c:pt idx="38">
                  <c:v>488</c:v>
                </c:pt>
                <c:pt idx="39">
                  <c:v>489</c:v>
                </c:pt>
                <c:pt idx="40">
                  <c:v>490</c:v>
                </c:pt>
                <c:pt idx="41">
                  <c:v>491</c:v>
                </c:pt>
                <c:pt idx="42">
                  <c:v>492</c:v>
                </c:pt>
                <c:pt idx="43">
                  <c:v>493</c:v>
                </c:pt>
                <c:pt idx="44">
                  <c:v>494</c:v>
                </c:pt>
                <c:pt idx="45">
                  <c:v>495</c:v>
                </c:pt>
                <c:pt idx="46">
                  <c:v>496</c:v>
                </c:pt>
                <c:pt idx="47">
                  <c:v>497</c:v>
                </c:pt>
                <c:pt idx="48">
                  <c:v>498</c:v>
                </c:pt>
                <c:pt idx="49">
                  <c:v>499</c:v>
                </c:pt>
                <c:pt idx="50">
                  <c:v>500</c:v>
                </c:pt>
                <c:pt idx="51">
                  <c:v>501</c:v>
                </c:pt>
                <c:pt idx="52">
                  <c:v>502</c:v>
                </c:pt>
                <c:pt idx="53">
                  <c:v>503</c:v>
                </c:pt>
                <c:pt idx="54">
                  <c:v>504</c:v>
                </c:pt>
                <c:pt idx="55">
                  <c:v>505</c:v>
                </c:pt>
                <c:pt idx="56">
                  <c:v>506</c:v>
                </c:pt>
                <c:pt idx="57">
                  <c:v>507</c:v>
                </c:pt>
                <c:pt idx="58">
                  <c:v>508</c:v>
                </c:pt>
                <c:pt idx="59">
                  <c:v>509</c:v>
                </c:pt>
                <c:pt idx="60">
                  <c:v>510</c:v>
                </c:pt>
                <c:pt idx="61">
                  <c:v>511</c:v>
                </c:pt>
                <c:pt idx="62">
                  <c:v>512</c:v>
                </c:pt>
                <c:pt idx="63">
                  <c:v>513</c:v>
                </c:pt>
                <c:pt idx="64">
                  <c:v>514</c:v>
                </c:pt>
                <c:pt idx="65">
                  <c:v>515</c:v>
                </c:pt>
                <c:pt idx="66">
                  <c:v>516</c:v>
                </c:pt>
                <c:pt idx="67">
                  <c:v>517</c:v>
                </c:pt>
                <c:pt idx="68">
                  <c:v>518</c:v>
                </c:pt>
                <c:pt idx="69">
                  <c:v>519</c:v>
                </c:pt>
                <c:pt idx="70">
                  <c:v>520</c:v>
                </c:pt>
                <c:pt idx="71">
                  <c:v>521</c:v>
                </c:pt>
                <c:pt idx="72">
                  <c:v>522</c:v>
                </c:pt>
                <c:pt idx="73">
                  <c:v>523</c:v>
                </c:pt>
                <c:pt idx="74">
                  <c:v>524</c:v>
                </c:pt>
                <c:pt idx="75">
                  <c:v>525</c:v>
                </c:pt>
                <c:pt idx="76">
                  <c:v>526</c:v>
                </c:pt>
                <c:pt idx="77">
                  <c:v>527</c:v>
                </c:pt>
                <c:pt idx="78">
                  <c:v>528</c:v>
                </c:pt>
                <c:pt idx="79">
                  <c:v>529</c:v>
                </c:pt>
                <c:pt idx="80">
                  <c:v>530</c:v>
                </c:pt>
                <c:pt idx="81">
                  <c:v>531</c:v>
                </c:pt>
                <c:pt idx="82">
                  <c:v>532</c:v>
                </c:pt>
                <c:pt idx="83">
                  <c:v>533</c:v>
                </c:pt>
                <c:pt idx="84">
                  <c:v>534</c:v>
                </c:pt>
                <c:pt idx="85">
                  <c:v>535</c:v>
                </c:pt>
                <c:pt idx="86">
                  <c:v>536</c:v>
                </c:pt>
                <c:pt idx="87">
                  <c:v>537</c:v>
                </c:pt>
                <c:pt idx="88">
                  <c:v>538</c:v>
                </c:pt>
                <c:pt idx="89">
                  <c:v>539</c:v>
                </c:pt>
                <c:pt idx="90">
                  <c:v>540</c:v>
                </c:pt>
                <c:pt idx="91">
                  <c:v>541</c:v>
                </c:pt>
                <c:pt idx="92">
                  <c:v>542</c:v>
                </c:pt>
                <c:pt idx="93">
                  <c:v>543</c:v>
                </c:pt>
                <c:pt idx="94">
                  <c:v>544</c:v>
                </c:pt>
                <c:pt idx="95">
                  <c:v>545</c:v>
                </c:pt>
                <c:pt idx="96">
                  <c:v>546</c:v>
                </c:pt>
                <c:pt idx="97">
                  <c:v>547</c:v>
                </c:pt>
                <c:pt idx="98">
                  <c:v>548</c:v>
                </c:pt>
                <c:pt idx="99">
                  <c:v>549</c:v>
                </c:pt>
                <c:pt idx="100">
                  <c:v>550</c:v>
                </c:pt>
                <c:pt idx="101">
                  <c:v>551</c:v>
                </c:pt>
                <c:pt idx="102">
                  <c:v>552</c:v>
                </c:pt>
                <c:pt idx="103">
                  <c:v>553</c:v>
                </c:pt>
                <c:pt idx="104">
                  <c:v>554</c:v>
                </c:pt>
                <c:pt idx="105">
                  <c:v>555</c:v>
                </c:pt>
                <c:pt idx="106">
                  <c:v>556</c:v>
                </c:pt>
                <c:pt idx="107">
                  <c:v>557</c:v>
                </c:pt>
                <c:pt idx="108">
                  <c:v>558</c:v>
                </c:pt>
                <c:pt idx="109">
                  <c:v>559</c:v>
                </c:pt>
                <c:pt idx="110">
                  <c:v>560</c:v>
                </c:pt>
                <c:pt idx="111">
                  <c:v>561</c:v>
                </c:pt>
                <c:pt idx="112">
                  <c:v>562</c:v>
                </c:pt>
                <c:pt idx="113">
                  <c:v>563</c:v>
                </c:pt>
                <c:pt idx="114">
                  <c:v>564</c:v>
                </c:pt>
                <c:pt idx="115">
                  <c:v>565</c:v>
                </c:pt>
                <c:pt idx="116">
                  <c:v>566</c:v>
                </c:pt>
                <c:pt idx="117">
                  <c:v>567</c:v>
                </c:pt>
                <c:pt idx="118">
                  <c:v>568</c:v>
                </c:pt>
                <c:pt idx="119">
                  <c:v>569</c:v>
                </c:pt>
                <c:pt idx="120">
                  <c:v>570</c:v>
                </c:pt>
                <c:pt idx="121">
                  <c:v>571</c:v>
                </c:pt>
                <c:pt idx="122">
                  <c:v>572</c:v>
                </c:pt>
                <c:pt idx="123">
                  <c:v>573</c:v>
                </c:pt>
                <c:pt idx="124">
                  <c:v>574</c:v>
                </c:pt>
                <c:pt idx="125">
                  <c:v>575</c:v>
                </c:pt>
                <c:pt idx="126">
                  <c:v>576</c:v>
                </c:pt>
                <c:pt idx="127">
                  <c:v>577</c:v>
                </c:pt>
                <c:pt idx="128">
                  <c:v>578</c:v>
                </c:pt>
                <c:pt idx="129">
                  <c:v>579</c:v>
                </c:pt>
                <c:pt idx="130">
                  <c:v>580</c:v>
                </c:pt>
                <c:pt idx="131">
                  <c:v>581</c:v>
                </c:pt>
                <c:pt idx="132">
                  <c:v>582</c:v>
                </c:pt>
                <c:pt idx="133">
                  <c:v>583</c:v>
                </c:pt>
                <c:pt idx="134">
                  <c:v>584</c:v>
                </c:pt>
                <c:pt idx="135">
                  <c:v>585</c:v>
                </c:pt>
                <c:pt idx="136">
                  <c:v>586</c:v>
                </c:pt>
                <c:pt idx="137">
                  <c:v>587</c:v>
                </c:pt>
                <c:pt idx="138">
                  <c:v>588</c:v>
                </c:pt>
                <c:pt idx="139">
                  <c:v>589</c:v>
                </c:pt>
                <c:pt idx="140">
                  <c:v>590</c:v>
                </c:pt>
                <c:pt idx="141">
                  <c:v>591</c:v>
                </c:pt>
                <c:pt idx="142">
                  <c:v>592</c:v>
                </c:pt>
                <c:pt idx="143">
                  <c:v>593</c:v>
                </c:pt>
                <c:pt idx="144">
                  <c:v>594</c:v>
                </c:pt>
                <c:pt idx="145">
                  <c:v>595</c:v>
                </c:pt>
                <c:pt idx="146">
                  <c:v>596</c:v>
                </c:pt>
                <c:pt idx="147">
                  <c:v>597</c:v>
                </c:pt>
                <c:pt idx="148">
                  <c:v>598</c:v>
                </c:pt>
                <c:pt idx="149">
                  <c:v>599</c:v>
                </c:pt>
                <c:pt idx="150">
                  <c:v>600</c:v>
                </c:pt>
                <c:pt idx="151">
                  <c:v>601</c:v>
                </c:pt>
                <c:pt idx="152">
                  <c:v>602</c:v>
                </c:pt>
                <c:pt idx="153">
                  <c:v>603</c:v>
                </c:pt>
                <c:pt idx="154">
                  <c:v>604</c:v>
                </c:pt>
                <c:pt idx="155">
                  <c:v>605</c:v>
                </c:pt>
                <c:pt idx="156">
                  <c:v>606</c:v>
                </c:pt>
                <c:pt idx="157">
                  <c:v>607</c:v>
                </c:pt>
                <c:pt idx="158">
                  <c:v>608</c:v>
                </c:pt>
                <c:pt idx="159">
                  <c:v>609</c:v>
                </c:pt>
                <c:pt idx="160">
                  <c:v>610</c:v>
                </c:pt>
                <c:pt idx="161">
                  <c:v>611</c:v>
                </c:pt>
                <c:pt idx="162">
                  <c:v>612</c:v>
                </c:pt>
                <c:pt idx="163">
                  <c:v>613</c:v>
                </c:pt>
                <c:pt idx="164">
                  <c:v>614</c:v>
                </c:pt>
                <c:pt idx="165">
                  <c:v>615</c:v>
                </c:pt>
                <c:pt idx="166">
                  <c:v>616</c:v>
                </c:pt>
                <c:pt idx="167">
                  <c:v>617</c:v>
                </c:pt>
                <c:pt idx="168">
                  <c:v>618</c:v>
                </c:pt>
                <c:pt idx="169">
                  <c:v>619</c:v>
                </c:pt>
                <c:pt idx="170">
                  <c:v>620</c:v>
                </c:pt>
                <c:pt idx="171">
                  <c:v>621</c:v>
                </c:pt>
                <c:pt idx="172">
                  <c:v>622</c:v>
                </c:pt>
                <c:pt idx="173">
                  <c:v>623</c:v>
                </c:pt>
                <c:pt idx="174">
                  <c:v>624</c:v>
                </c:pt>
                <c:pt idx="175">
                  <c:v>625</c:v>
                </c:pt>
                <c:pt idx="176">
                  <c:v>626</c:v>
                </c:pt>
                <c:pt idx="177">
                  <c:v>627</c:v>
                </c:pt>
                <c:pt idx="178">
                  <c:v>628</c:v>
                </c:pt>
                <c:pt idx="179">
                  <c:v>629</c:v>
                </c:pt>
                <c:pt idx="180">
                  <c:v>630</c:v>
                </c:pt>
                <c:pt idx="181">
                  <c:v>631</c:v>
                </c:pt>
                <c:pt idx="182">
                  <c:v>632</c:v>
                </c:pt>
                <c:pt idx="183">
                  <c:v>633</c:v>
                </c:pt>
                <c:pt idx="184">
                  <c:v>634</c:v>
                </c:pt>
                <c:pt idx="185">
                  <c:v>635</c:v>
                </c:pt>
                <c:pt idx="186">
                  <c:v>636</c:v>
                </c:pt>
                <c:pt idx="187">
                  <c:v>637</c:v>
                </c:pt>
                <c:pt idx="188">
                  <c:v>638</c:v>
                </c:pt>
                <c:pt idx="189">
                  <c:v>639</c:v>
                </c:pt>
                <c:pt idx="190">
                  <c:v>640</c:v>
                </c:pt>
                <c:pt idx="191">
                  <c:v>641</c:v>
                </c:pt>
                <c:pt idx="192">
                  <c:v>642</c:v>
                </c:pt>
                <c:pt idx="193">
                  <c:v>643</c:v>
                </c:pt>
                <c:pt idx="194">
                  <c:v>644</c:v>
                </c:pt>
                <c:pt idx="195">
                  <c:v>645</c:v>
                </c:pt>
                <c:pt idx="196">
                  <c:v>646</c:v>
                </c:pt>
                <c:pt idx="197">
                  <c:v>647</c:v>
                </c:pt>
                <c:pt idx="198">
                  <c:v>648</c:v>
                </c:pt>
                <c:pt idx="199">
                  <c:v>649</c:v>
                </c:pt>
                <c:pt idx="200">
                  <c:v>650</c:v>
                </c:pt>
              </c:numCache>
            </c:numRef>
          </c:xVal>
          <c:yVal>
            <c:numRef>
              <c:f>Graph!$E$3:$E$303</c:f>
              <c:numCache>
                <c:formatCode>0.0000</c:formatCode>
                <c:ptCount val="301"/>
                <c:pt idx="0">
                  <c:v>3.6183549473691059E-4</c:v>
                </c:pt>
                <c:pt idx="1">
                  <c:v>4.1619492541562672E-4</c:v>
                </c:pt>
                <c:pt idx="2">
                  <c:v>4.8478438189407792E-4</c:v>
                </c:pt>
                <c:pt idx="3">
                  <c:v>5.7850719269397256E-4</c:v>
                </c:pt>
                <c:pt idx="4">
                  <c:v>6.6176485862381345E-4</c:v>
                </c:pt>
                <c:pt idx="5">
                  <c:v>8.0399550775175433E-4</c:v>
                </c:pt>
                <c:pt idx="6">
                  <c:v>9.3531540546938478E-4</c:v>
                </c:pt>
                <c:pt idx="7">
                  <c:v>1.107168552252609E-3</c:v>
                </c:pt>
                <c:pt idx="8">
                  <c:v>1.3263653266266172E-3</c:v>
                </c:pt>
                <c:pt idx="9">
                  <c:v>1.536754173600917E-3</c:v>
                </c:pt>
                <c:pt idx="10">
                  <c:v>1.8839184110093859E-3</c:v>
                </c:pt>
                <c:pt idx="11">
                  <c:v>2.258490962271523E-3</c:v>
                </c:pt>
                <c:pt idx="12">
                  <c:v>2.7139636937478537E-3</c:v>
                </c:pt>
                <c:pt idx="13">
                  <c:v>3.250988080293444E-3</c:v>
                </c:pt>
                <c:pt idx="14">
                  <c:v>3.9655728796467648E-3</c:v>
                </c:pt>
                <c:pt idx="15">
                  <c:v>4.8471109323407575E-3</c:v>
                </c:pt>
                <c:pt idx="16">
                  <c:v>5.7961146591440681E-3</c:v>
                </c:pt>
                <c:pt idx="17">
                  <c:v>7.0288570107181914E-3</c:v>
                </c:pt>
                <c:pt idx="18">
                  <c:v>8.3854441733371039E-3</c:v>
                </c:pt>
                <c:pt idx="19">
                  <c:v>1.0088718239769114E-2</c:v>
                </c:pt>
                <c:pt idx="20">
                  <c:v>1.2073639033965862E-2</c:v>
                </c:pt>
                <c:pt idx="21">
                  <c:v>1.4351362379577133E-2</c:v>
                </c:pt>
                <c:pt idx="22">
                  <c:v>1.7133446502859404E-2</c:v>
                </c:pt>
                <c:pt idx="23">
                  <c:v>2.0165348332125781E-2</c:v>
                </c:pt>
                <c:pt idx="24">
                  <c:v>2.4006359927932763E-2</c:v>
                </c:pt>
                <c:pt idx="25">
                  <c:v>2.8579242209060218E-2</c:v>
                </c:pt>
                <c:pt idx="26">
                  <c:v>3.3413439347499053E-2</c:v>
                </c:pt>
                <c:pt idx="27">
                  <c:v>3.9365050047932115E-2</c:v>
                </c:pt>
                <c:pt idx="28">
                  <c:v>4.5982006931405674E-2</c:v>
                </c:pt>
                <c:pt idx="29">
                  <c:v>5.4145364030533071E-2</c:v>
                </c:pt>
                <c:pt idx="30">
                  <c:v>6.3363985854936675E-2</c:v>
                </c:pt>
                <c:pt idx="31">
                  <c:v>7.3458999437795602E-2</c:v>
                </c:pt>
                <c:pt idx="32">
                  <c:v>8.5085078030697842E-2</c:v>
                </c:pt>
                <c:pt idx="33">
                  <c:v>9.8280942999232096E-2</c:v>
                </c:pt>
                <c:pt idx="34">
                  <c:v>0.1122843154807322</c:v>
                </c:pt>
                <c:pt idx="35">
                  <c:v>0.12821100267237762</c:v>
                </c:pt>
                <c:pt idx="36">
                  <c:v>0.14457869119167135</c:v>
                </c:pt>
                <c:pt idx="37">
                  <c:v>0.16376153095402854</c:v>
                </c:pt>
                <c:pt idx="38">
                  <c:v>0.18402555412137347</c:v>
                </c:pt>
                <c:pt idx="39">
                  <c:v>0.20506836205695028</c:v>
                </c:pt>
                <c:pt idx="40">
                  <c:v>0.22904815213736565</c:v>
                </c:pt>
                <c:pt idx="41">
                  <c:v>0.25538574415486126</c:v>
                </c:pt>
                <c:pt idx="42">
                  <c:v>0.28350402211105907</c:v>
                </c:pt>
                <c:pt idx="43">
                  <c:v>0.31523607667714776</c:v>
                </c:pt>
                <c:pt idx="44">
                  <c:v>0.3499587150972609</c:v>
                </c:pt>
                <c:pt idx="45">
                  <c:v>0.38484489542976719</c:v>
                </c:pt>
                <c:pt idx="46">
                  <c:v>0.42509013768211068</c:v>
                </c:pt>
                <c:pt idx="47">
                  <c:v>0.46766256466983719</c:v>
                </c:pt>
                <c:pt idx="48">
                  <c:v>0.50985074636804828</c:v>
                </c:pt>
                <c:pt idx="49">
                  <c:v>0.55491719565093089</c:v>
                </c:pt>
                <c:pt idx="50">
                  <c:v>0.59983615881457819</c:v>
                </c:pt>
                <c:pt idx="51">
                  <c:v>0.64131734899601145</c:v>
                </c:pt>
                <c:pt idx="52">
                  <c:v>0.68162975824767225</c:v>
                </c:pt>
                <c:pt idx="53">
                  <c:v>0.71790428683305296</c:v>
                </c:pt>
                <c:pt idx="54">
                  <c:v>0.74876812084469091</c:v>
                </c:pt>
                <c:pt idx="55">
                  <c:v>0.77553563396990532</c:v>
                </c:pt>
                <c:pt idx="56">
                  <c:v>0.79553135663423624</c:v>
                </c:pt>
                <c:pt idx="57">
                  <c:v>0.81041872674854332</c:v>
                </c:pt>
                <c:pt idx="58">
                  <c:v>0.82074023374462024</c:v>
                </c:pt>
                <c:pt idx="59">
                  <c:v>0.82601490241121389</c:v>
                </c:pt>
                <c:pt idx="60">
                  <c:v>0.82897017735846112</c:v>
                </c:pt>
                <c:pt idx="61">
                  <c:v>0.82793148991813392</c:v>
                </c:pt>
                <c:pt idx="62">
                  <c:v>0.82689066522288956</c:v>
                </c:pt>
                <c:pt idx="63">
                  <c:v>0.8240448155807405</c:v>
                </c:pt>
                <c:pt idx="64">
                  <c:v>0.82486295855158631</c:v>
                </c:pt>
                <c:pt idx="65">
                  <c:v>0.82768181878589508</c:v>
                </c:pt>
                <c:pt idx="66">
                  <c:v>0.83391231621751927</c:v>
                </c:pt>
                <c:pt idx="67">
                  <c:v>0.84377750962969045</c:v>
                </c:pt>
                <c:pt idx="68">
                  <c:v>0.855942980457159</c:v>
                </c:pt>
                <c:pt idx="69">
                  <c:v>0.87071072199223121</c:v>
                </c:pt>
                <c:pt idx="70">
                  <c:v>0.88723874212533016</c:v>
                </c:pt>
                <c:pt idx="71">
                  <c:v>0.90609497797878136</c:v>
                </c:pt>
                <c:pt idx="72">
                  <c:v>0.92437167453295688</c:v>
                </c:pt>
                <c:pt idx="73">
                  <c:v>0.93974332968085428</c:v>
                </c:pt>
                <c:pt idx="74">
                  <c:v>0.95237005258002361</c:v>
                </c:pt>
                <c:pt idx="75">
                  <c:v>0.96099424821781143</c:v>
                </c:pt>
                <c:pt idx="76">
                  <c:v>0.96362917460800834</c:v>
                </c:pt>
                <c:pt idx="77">
                  <c:v>0.96196357762782903</c:v>
                </c:pt>
                <c:pt idx="78">
                  <c:v>0.95585680874646717</c:v>
                </c:pt>
                <c:pt idx="79">
                  <c:v>0.94346074352930864</c:v>
                </c:pt>
                <c:pt idx="80">
                  <c:v>0.92705522027562404</c:v>
                </c:pt>
                <c:pt idx="81">
                  <c:v>0.90997212393394789</c:v>
                </c:pt>
                <c:pt idx="82">
                  <c:v>0.88785957822940853</c:v>
                </c:pt>
                <c:pt idx="83">
                  <c:v>0.8642709472008917</c:v>
                </c:pt>
                <c:pt idx="84">
                  <c:v>0.84070573424478556</c:v>
                </c:pt>
                <c:pt idx="85">
                  <c:v>0.81692245040563427</c:v>
                </c:pt>
                <c:pt idx="86">
                  <c:v>0.79456983338180975</c:v>
                </c:pt>
                <c:pt idx="87">
                  <c:v>0.77152721797104307</c:v>
                </c:pt>
                <c:pt idx="88">
                  <c:v>0.75113370194687978</c:v>
                </c:pt>
                <c:pt idx="89">
                  <c:v>0.73275008125794172</c:v>
                </c:pt>
                <c:pt idx="90">
                  <c:v>0.71633338560496818</c:v>
                </c:pt>
                <c:pt idx="91">
                  <c:v>0.70416194841612778</c:v>
                </c:pt>
                <c:pt idx="92">
                  <c:v>0.69194069026758176</c:v>
                </c:pt>
                <c:pt idx="93">
                  <c:v>0.68184664807602235</c:v>
                </c:pt>
                <c:pt idx="94">
                  <c:v>0.6740761574588795</c:v>
                </c:pt>
                <c:pt idx="95">
                  <c:v>0.66747891602752452</c:v>
                </c:pt>
                <c:pt idx="96">
                  <c:v>0.66225681898079269</c:v>
                </c:pt>
                <c:pt idx="97">
                  <c:v>0.65611463631056655</c:v>
                </c:pt>
                <c:pt idx="98">
                  <c:v>0.65038352295477586</c:v>
                </c:pt>
                <c:pt idx="99">
                  <c:v>0.64323338659773299</c:v>
                </c:pt>
                <c:pt idx="100">
                  <c:v>0.63517561424584812</c:v>
                </c:pt>
                <c:pt idx="101">
                  <c:v>0.62545363650560171</c:v>
                </c:pt>
                <c:pt idx="102">
                  <c:v>0.61393422582268597</c:v>
                </c:pt>
                <c:pt idx="103">
                  <c:v>0.6013828274385743</c:v>
                </c:pt>
                <c:pt idx="104">
                  <c:v>0.58671200956094871</c:v>
                </c:pt>
                <c:pt idx="105">
                  <c:v>0.56921456758710187</c:v>
                </c:pt>
                <c:pt idx="106">
                  <c:v>0.55133577831415814</c:v>
                </c:pt>
                <c:pt idx="107">
                  <c:v>0.531015227124919</c:v>
                </c:pt>
                <c:pt idx="108">
                  <c:v>0.51026572649046087</c:v>
                </c:pt>
                <c:pt idx="109">
                  <c:v>0.49029954162859507</c:v>
                </c:pt>
                <c:pt idx="110">
                  <c:v>0.47140745856701366</c:v>
                </c:pt>
                <c:pt idx="111">
                  <c:v>0.45120262974389658</c:v>
                </c:pt>
                <c:pt idx="112">
                  <c:v>0.4319053723505995</c:v>
                </c:pt>
                <c:pt idx="113">
                  <c:v>0.41347368030925818</c:v>
                </c:pt>
                <c:pt idx="114">
                  <c:v>0.39573503670232024</c:v>
                </c:pt>
                <c:pt idx="115">
                  <c:v>0.37857696686070014</c:v>
                </c:pt>
                <c:pt idx="116">
                  <c:v>0.36432846679770953</c:v>
                </c:pt>
                <c:pt idx="117">
                  <c:v>0.35097027907519396</c:v>
                </c:pt>
                <c:pt idx="118">
                  <c:v>0.33951445139403297</c:v>
                </c:pt>
                <c:pt idx="119">
                  <c:v>0.32903154627404202</c:v>
                </c:pt>
                <c:pt idx="120">
                  <c:v>0.31879189702138427</c:v>
                </c:pt>
                <c:pt idx="121">
                  <c:v>0.30984132055052127</c:v>
                </c:pt>
                <c:pt idx="122">
                  <c:v>0.30130366747742737</c:v>
                </c:pt>
                <c:pt idx="123">
                  <c:v>0.29338152329271927</c:v>
                </c:pt>
                <c:pt idx="124">
                  <c:v>0.28554964694964752</c:v>
                </c:pt>
                <c:pt idx="125">
                  <c:v>0.27828331214562635</c:v>
                </c:pt>
                <c:pt idx="126">
                  <c:v>0.27061204036149927</c:v>
                </c:pt>
                <c:pt idx="127">
                  <c:v>0.26252242486512684</c:v>
                </c:pt>
                <c:pt idx="128">
                  <c:v>0.25431195555152991</c:v>
                </c:pt>
                <c:pt idx="129">
                  <c:v>0.24594719573635176</c:v>
                </c:pt>
                <c:pt idx="130">
                  <c:v>0.23747567017077445</c:v>
                </c:pt>
                <c:pt idx="131">
                  <c:v>0.22813890186974456</c:v>
                </c:pt>
                <c:pt idx="132">
                  <c:v>0.2197159888027406</c:v>
                </c:pt>
                <c:pt idx="133">
                  <c:v>0.21107303371521483</c:v>
                </c:pt>
                <c:pt idx="134">
                  <c:v>0.20277029108203701</c:v>
                </c:pt>
                <c:pt idx="135">
                  <c:v>0.19436926690977649</c:v>
                </c:pt>
                <c:pt idx="136">
                  <c:v>0.18603442043809121</c:v>
                </c:pt>
                <c:pt idx="137">
                  <c:v>0.17822687732363129</c:v>
                </c:pt>
                <c:pt idx="138">
                  <c:v>0.17055212303286832</c:v>
                </c:pt>
                <c:pt idx="139">
                  <c:v>0.16341462186642847</c:v>
                </c:pt>
                <c:pt idx="140">
                  <c:v>0.15660916502718944</c:v>
                </c:pt>
                <c:pt idx="141">
                  <c:v>0.14974145159993749</c:v>
                </c:pt>
                <c:pt idx="142">
                  <c:v>0.14357588038932467</c:v>
                </c:pt>
                <c:pt idx="143">
                  <c:v>0.13807172320295244</c:v>
                </c:pt>
                <c:pt idx="144">
                  <c:v>0.13255324141122016</c:v>
                </c:pt>
                <c:pt idx="145">
                  <c:v>0.12736153895962773</c:v>
                </c:pt>
                <c:pt idx="146">
                  <c:v>0.12257966329345907</c:v>
                </c:pt>
                <c:pt idx="147">
                  <c:v>0.11828749568573815</c:v>
                </c:pt>
                <c:pt idx="148">
                  <c:v>0.1144315220320589</c:v>
                </c:pt>
                <c:pt idx="149">
                  <c:v>0.11053696440271772</c:v>
                </c:pt>
                <c:pt idx="150">
                  <c:v>0.10696883302031238</c:v>
                </c:pt>
                <c:pt idx="151">
                  <c:v>0.10349889992576587</c:v>
                </c:pt>
                <c:pt idx="152">
                  <c:v>0.10002876599316325</c:v>
                </c:pt>
                <c:pt idx="153">
                  <c:v>9.6893506241750027E-2</c:v>
                </c:pt>
                <c:pt idx="154">
                  <c:v>9.3902286358873072E-2</c:v>
                </c:pt>
                <c:pt idx="155">
                  <c:v>9.0637116946945123E-2</c:v>
                </c:pt>
                <c:pt idx="156">
                  <c:v>8.786197583650586E-2</c:v>
                </c:pt>
                <c:pt idx="157">
                  <c:v>8.50231544325359E-2</c:v>
                </c:pt>
                <c:pt idx="158">
                  <c:v>8.1981426968448845E-2</c:v>
                </c:pt>
                <c:pt idx="159">
                  <c:v>7.901008943389215E-2</c:v>
                </c:pt>
                <c:pt idx="160">
                  <c:v>7.5848508530181727E-2</c:v>
                </c:pt>
                <c:pt idx="161">
                  <c:v>7.3036480938928616E-2</c:v>
                </c:pt>
                <c:pt idx="162">
                  <c:v>6.9891084033766329E-2</c:v>
                </c:pt>
                <c:pt idx="163">
                  <c:v>6.7176140364656939E-2</c:v>
                </c:pt>
                <c:pt idx="164">
                  <c:v>6.4149859026903289E-2</c:v>
                </c:pt>
                <c:pt idx="165">
                  <c:v>6.1323354561937771E-2</c:v>
                </c:pt>
                <c:pt idx="166">
                  <c:v>5.8307393175796848E-2</c:v>
                </c:pt>
                <c:pt idx="167">
                  <c:v>5.5802165247107592E-2</c:v>
                </c:pt>
                <c:pt idx="168">
                  <c:v>5.2957721340411934E-2</c:v>
                </c:pt>
                <c:pt idx="169">
                  <c:v>5.0252860494452774E-2</c:v>
                </c:pt>
                <c:pt idx="170">
                  <c:v>4.799026092570198E-2</c:v>
                </c:pt>
                <c:pt idx="171">
                  <c:v>4.5749968023657384E-2</c:v>
                </c:pt>
                <c:pt idx="172">
                  <c:v>4.3308263846851651E-2</c:v>
                </c:pt>
                <c:pt idx="173">
                  <c:v>4.1236876872084688E-2</c:v>
                </c:pt>
                <c:pt idx="174">
                  <c:v>3.9419495236800162E-2</c:v>
                </c:pt>
                <c:pt idx="175">
                  <c:v>3.7548527043223263E-2</c:v>
                </c:pt>
                <c:pt idx="176">
                  <c:v>3.5928408291050026E-2</c:v>
                </c:pt>
                <c:pt idx="177">
                  <c:v>3.4440484013765905E-2</c:v>
                </c:pt>
                <c:pt idx="178">
                  <c:v>3.2967397221508106E-2</c:v>
                </c:pt>
                <c:pt idx="179">
                  <c:v>3.1744188566126069E-2</c:v>
                </c:pt>
                <c:pt idx="180">
                  <c:v>3.0422915058003343E-2</c:v>
                </c:pt>
                <c:pt idx="181">
                  <c:v>2.916034897153786E-2</c:v>
                </c:pt>
                <c:pt idx="182">
                  <c:v>2.8162285496240884E-2</c:v>
                </c:pt>
                <c:pt idx="183">
                  <c:v>2.7166151463681822E-2</c:v>
                </c:pt>
                <c:pt idx="184">
                  <c:v>2.6091946739188618E-2</c:v>
                </c:pt>
                <c:pt idx="185">
                  <c:v>2.5189861792639497E-2</c:v>
                </c:pt>
                <c:pt idx="186">
                  <c:v>2.4298861168039042E-2</c:v>
                </c:pt>
                <c:pt idx="187">
                  <c:v>2.3502345062334111E-2</c:v>
                </c:pt>
                <c:pt idx="188">
                  <c:v>2.2676941275020294E-2</c:v>
                </c:pt>
                <c:pt idx="189">
                  <c:v>2.1764126775108368E-2</c:v>
                </c:pt>
                <c:pt idx="190">
                  <c:v>2.1011635770116058E-2</c:v>
                </c:pt>
                <c:pt idx="191">
                  <c:v>2.018070530292005E-2</c:v>
                </c:pt>
                <c:pt idx="192">
                  <c:v>1.9465380328342725E-2</c:v>
                </c:pt>
                <c:pt idx="193">
                  <c:v>1.8599014734759653E-2</c:v>
                </c:pt>
                <c:pt idx="194">
                  <c:v>1.8107108636372955E-2</c:v>
                </c:pt>
                <c:pt idx="195">
                  <c:v>1.731758359732052E-2</c:v>
                </c:pt>
                <c:pt idx="196">
                  <c:v>1.6735180435341477E-2</c:v>
                </c:pt>
                <c:pt idx="197">
                  <c:v>1.6107124596391735E-2</c:v>
                </c:pt>
                <c:pt idx="198">
                  <c:v>1.5512679321151138E-2</c:v>
                </c:pt>
                <c:pt idx="199">
                  <c:v>1.4811949146808088E-2</c:v>
                </c:pt>
                <c:pt idx="200">
                  <c:v>1.4238894105165077E-2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97-481D-9A65-9B73DDEAD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577560"/>
        <c:axId val="385577888"/>
      </c:scatterChart>
      <c:valAx>
        <c:axId val="385577560"/>
        <c:scaling>
          <c:orientation val="minMax"/>
          <c:max val="650"/>
          <c:min val="4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latin typeface="Arial" panose="020B0604020202020204" pitchFamily="34" charset="0"/>
                    <a:cs typeface="Arial" panose="020B0604020202020204" pitchFamily="34" charset="0"/>
                  </a:rPr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577888"/>
        <c:crosses val="autoZero"/>
        <c:crossBetween val="midCat"/>
        <c:majorUnit val="100"/>
        <c:minorUnit val="50"/>
      </c:valAx>
      <c:valAx>
        <c:axId val="385577888"/>
        <c:scaling>
          <c:orientation val="minMax"/>
          <c:max val="1.100000000000000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>
                    <a:latin typeface="Arial" panose="020B0604020202020204" pitchFamily="34" charset="0"/>
                    <a:cs typeface="Arial" panose="020B0604020202020204" pitchFamily="34" charset="0"/>
                  </a:rPr>
                  <a:t>Relative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5577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58139715777286261"/>
          <c:y val="6.0840365103615776E-2"/>
          <c:w val="0.40750329435891691"/>
          <c:h val="0.19382771183452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85725</xdr:colOff>
          <xdr:row>4</xdr:row>
          <xdr:rowOff>104775</xdr:rowOff>
        </xdr:from>
        <xdr:to>
          <xdr:col>5</xdr:col>
          <xdr:colOff>342900</xdr:colOff>
          <xdr:row>6</xdr:row>
          <xdr:rowOff>114300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0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FF0000"/>
                  </a:solidFill>
                  <a:latin typeface="Arial"/>
                  <a:cs typeface="Arial"/>
                </a:rPr>
                <a:t>Interpolate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195261</xdr:colOff>
      <xdr:row>1</xdr:row>
      <xdr:rowOff>152399</xdr:rowOff>
    </xdr:from>
    <xdr:to>
      <xdr:col>13</xdr:col>
      <xdr:colOff>504824</xdr:colOff>
      <xdr:row>21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macro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macrosheets/sheet1.xml><?xml version="1.0" encoding="utf-8"?>
<xm:macro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r6="http://schemas.microsoft.com/office/spreadsheetml/2016/revision6" mc:Ignorable="x14ac xr xr2 xr3 xr6" xr6:uid="{00000000-0001-0000-0100-000000000000}">
  <dimension ref="A1:A56"/>
  <sheetViews>
    <sheetView showFormulas="1" zoomScale="75" workbookViewId="0">
      <selection sqref="A1:C1"/>
    </sheetView>
  </sheetViews>
  <sheetFormatPr defaultRowHeight="12.75" x14ac:dyDescent="0.2"/>
  <cols>
    <col min="1" max="1" width="36.5703125" style="1" customWidth="1"/>
    <col min="2" max="16384" width="9.140625" style="1"/>
  </cols>
  <sheetData>
    <row r="1" spans="1:1" x14ac:dyDescent="0.2">
      <c r="A1" s="17" t="s">
        <v>12</v>
      </c>
    </row>
    <row r="2" spans="1:1" x14ac:dyDescent="0.2">
      <c r="A2" s="1" t="b">
        <f>SET.NAME("S0dat","Data")</f>
        <v>1</v>
      </c>
    </row>
    <row r="4" spans="1:1" x14ac:dyDescent="0.2">
      <c r="A4" s="1" t="b">
        <f>SET.NAME("Npts",COUNT(INDIRECT("'"&amp;S0dat&amp;"'!C1",FALSE)))</f>
        <v>1</v>
      </c>
    </row>
    <row r="5" spans="1:1" x14ac:dyDescent="0.2">
      <c r="A5" s="1" t="b">
        <f>SET.NAME("Xstart",MIN(INDIRECT("'"&amp;S0dat&amp;"'!C1",FALSE)))</f>
        <v>1</v>
      </c>
    </row>
    <row r="6" spans="1:1" x14ac:dyDescent="0.2">
      <c r="A6" s="1" t="b">
        <f>SET.NAME("Xstop",MAX(INDIRECT("'"&amp;S0dat&amp;"'!C1",FALSE)))</f>
        <v>1</v>
      </c>
    </row>
    <row r="8" spans="1:1" x14ac:dyDescent="0.2">
      <c r="A8" s="17" t="s">
        <v>13</v>
      </c>
    </row>
    <row r="9" spans="1:1" x14ac:dyDescent="0.2">
      <c r="A9" s="1" t="b">
        <f>SET.NAME("WLstart",DEREF(INDIRECT("'"&amp;S0dat&amp;"'!R2C6",FALSE)))</f>
        <v>1</v>
      </c>
    </row>
    <row r="10" spans="1:1" x14ac:dyDescent="0.2">
      <c r="A10" s="1" t="b">
        <f>SET.NAME("WLstop",DEREF(INDIRECT("'"&amp;S0dat&amp;"'!R3C6",FALSE)))</f>
        <v>1</v>
      </c>
    </row>
    <row r="11" spans="1:1" x14ac:dyDescent="0.2">
      <c r="A11" s="1" t="b">
        <f>SET.NAME("WLstep",DEREF(INDIRECT("'"&amp;S0dat&amp;"'!R4C6",FALSE)))</f>
        <v>1</v>
      </c>
    </row>
    <row r="13" spans="1:1" x14ac:dyDescent="0.2">
      <c r="A13" s="17" t="s">
        <v>14</v>
      </c>
    </row>
    <row r="14" spans="1:1" x14ac:dyDescent="0.2">
      <c r="A14" s="1" t="b">
        <f>IF(WLstop&lt;WLstart)</f>
        <v>1</v>
      </c>
    </row>
    <row r="15" spans="1:1" x14ac:dyDescent="0.2">
      <c r="A15" s="1" t="b">
        <f xml:space="preserve">  ACTIVATE(S0dat)</f>
        <v>1</v>
      </c>
    </row>
    <row r="16" spans="1:1" x14ac:dyDescent="0.2">
      <c r="A16" s="1" t="b">
        <f xml:space="preserve">  ALERT("Stop must be greater than Start!",1)</f>
        <v>1</v>
      </c>
    </row>
    <row r="17" spans="1:1" x14ac:dyDescent="0.2">
      <c r="A17" s="1" t="b">
        <f xml:space="preserve">  HALT()</f>
        <v>1</v>
      </c>
    </row>
    <row r="18" spans="1:1" x14ac:dyDescent="0.2">
      <c r="A18" s="1" t="b">
        <f>END.IF()</f>
        <v>0</v>
      </c>
    </row>
    <row r="19" spans="1:1" x14ac:dyDescent="0.2">
      <c r="A19" s="1" t="b">
        <f>SET.NAME("Ystart",MAX(Xstart,WLstart))</f>
        <v>1</v>
      </c>
    </row>
    <row r="20" spans="1:1" x14ac:dyDescent="0.2">
      <c r="A20" s="1" t="b">
        <f>SET.NAME("Ystop",MIN(Xstop,WLstop))</f>
        <v>1</v>
      </c>
    </row>
    <row r="22" spans="1:1" x14ac:dyDescent="0.2">
      <c r="A22" s="17" t="s">
        <v>15</v>
      </c>
    </row>
    <row r="23" spans="1:1" x14ac:dyDescent="0.2">
      <c r="A23" s="1" t="b">
        <f>ACTIVATE(S0dat)</f>
        <v>1</v>
      </c>
    </row>
    <row r="24" spans="1:1" x14ac:dyDescent="0.2">
      <c r="A24" s="1" t="b">
        <f>SELECT("R3C8:R65536C10")</f>
        <v>1</v>
      </c>
    </row>
    <row r="25" spans="1:1" x14ac:dyDescent="0.2">
      <c r="A25" s="1" t="b">
        <f>CLEAR(3)</f>
        <v>1</v>
      </c>
    </row>
    <row r="27" spans="1:1" x14ac:dyDescent="0.2">
      <c r="A27" s="17" t="s">
        <v>16</v>
      </c>
    </row>
    <row r="28" spans="1:1" x14ac:dyDescent="0.2">
      <c r="A28" s="1" t="b">
        <f>SET.NAME("Jrow",2)</f>
        <v>1</v>
      </c>
    </row>
    <row r="29" spans="1:1" x14ac:dyDescent="0.2">
      <c r="A29" s="1" t="b">
        <f>SET.NAME("Nint",INT((Ystop-Ystart)/WLstep+0.999999)+1)</f>
        <v>1</v>
      </c>
    </row>
    <row r="30" spans="1:1" x14ac:dyDescent="0.2">
      <c r="A30" s="1" t="b">
        <f>SET.NAME("Yval",Ystart-WLstep)</f>
        <v>1</v>
      </c>
    </row>
    <row r="31" spans="1:1" x14ac:dyDescent="0.2">
      <c r="A31" s="1" t="b">
        <f>FOR("Iint",1,Nint,1)</f>
        <v>1</v>
      </c>
    </row>
    <row r="32" spans="1:1" x14ac:dyDescent="0.2">
      <c r="A32" s="1" t="b">
        <f xml:space="preserve">  SET.NAME("Yval",Yval+WLstep)</f>
        <v>1</v>
      </c>
    </row>
    <row r="33" spans="1:1" x14ac:dyDescent="0.2">
      <c r="A33" s="1" t="b">
        <f xml:space="preserve">  SET.NAME("Irow",MATCH(Yval,INDIRECT("'"&amp;S0dat&amp;"'!C1",FALSE),1))</f>
        <v>1</v>
      </c>
    </row>
    <row r="34" spans="1:1" x14ac:dyDescent="0.2">
      <c r="A34" s="12" t="b">
        <f xml:space="preserve">  IF(Irow=Npts+2,SET.NAME("Irow",Irow-1))</f>
        <v>1</v>
      </c>
    </row>
    <row r="35" spans="1:1" x14ac:dyDescent="0.2">
      <c r="A35" s="1" t="b">
        <f xml:space="preserve">  SET.NAME("Jrow",Jrow+1)</f>
        <v>1</v>
      </c>
    </row>
    <row r="36" spans="1:1" x14ac:dyDescent="0.2">
      <c r="A36" s="1" t="b">
        <f xml:space="preserve">  SET.NAME("Wval",DEREF(INDIRECT("'"&amp;S0dat&amp;"'!R"&amp;Irow&amp;"C1",FALSE)))</f>
        <v>1</v>
      </c>
    </row>
    <row r="37" spans="1:1" x14ac:dyDescent="0.2">
      <c r="A37" s="1" t="b">
        <f xml:space="preserve">  SET.NAME("Wint",DEREF(INDIRECT("'"&amp;S0dat&amp;"'!R"&amp;Irow&amp;"C2",FALSE)))</f>
        <v>1</v>
      </c>
    </row>
    <row r="38" spans="1:1" x14ac:dyDescent="0.2">
      <c r="A38" s="1" t="b">
        <f xml:space="preserve">  SET.NAME("Wunt",DEREF(INDIRECT("'"&amp;S0dat&amp;"'!R"&amp;Irow&amp;"C3",FALSE)))</f>
        <v>1</v>
      </c>
    </row>
    <row r="40" spans="1:1" x14ac:dyDescent="0.2">
      <c r="A40" s="17" t="s">
        <v>17</v>
      </c>
    </row>
    <row r="41" spans="1:1" x14ac:dyDescent="0.2">
      <c r="A41" s="1" t="b">
        <f xml:space="preserve">  SET.NAME("Xinter",INTERCEPT(INDIRECT("'"&amp;S0dat&amp;"'!R"&amp;Irow&amp;"C2:R"&amp;Irow+1&amp;"C2",FALSE),INDIRECT("'"&amp;S0dat&amp;"'!R"&amp;Irow&amp;"C1:R"&amp;Irow+1&amp;"C1",FALSE)))</f>
        <v>1</v>
      </c>
    </row>
    <row r="42" spans="1:1" x14ac:dyDescent="0.2">
      <c r="A42" s="1" t="b">
        <f xml:space="preserve">  SET.NAME("Xslope",SLOPE(INDIRECT("'"&amp;S0dat&amp;"'!R"&amp;Irow&amp;"C2:R"&amp;Irow+1&amp;"C2",FALSE),INDIRECT("'"&amp;S0dat&amp;"'!R"&amp;Irow&amp;"C1:R"&amp;Irow+1&amp;"C1",FALSE)))</f>
        <v>1</v>
      </c>
    </row>
    <row r="43" spans="1:1" x14ac:dyDescent="0.2">
      <c r="A43" s="1" t="b">
        <f xml:space="preserve">  SET.NAME("Yint",Xinter+Xslope*Yval)</f>
        <v>1</v>
      </c>
    </row>
    <row r="44" spans="1:1" x14ac:dyDescent="0.2">
      <c r="A44" s="1" t="b">
        <f xml:space="preserve">  SET.NAME("Xinter",INTERCEPT(INDIRECT("'"&amp;S0dat&amp;"'!R"&amp;Irow&amp;"C3:R"&amp;Irow+1&amp;"C3",FALSE),INDIRECT("'"&amp;S0dat&amp;"'!R"&amp;Irow&amp;"C1:R"&amp;Irow+1&amp;"C1",FALSE)))</f>
        <v>1</v>
      </c>
    </row>
    <row r="45" spans="1:1" x14ac:dyDescent="0.2">
      <c r="A45" s="1" t="b">
        <f xml:space="preserve">  SET.NAME("Xslope",SLOPE(INDIRECT("'"&amp;S0dat&amp;"'!R"&amp;Irow&amp;"C3:R"&amp;Irow+1&amp;"C3",FALSE),INDIRECT("'"&amp;S0dat&amp;"'!R"&amp;Irow&amp;"C1:R"&amp;Irow+1&amp;"C1",FALSE)))</f>
        <v>1</v>
      </c>
    </row>
    <row r="46" spans="1:1" x14ac:dyDescent="0.2">
      <c r="A46" s="1" t="b">
        <f xml:space="preserve">  SET.NAME("Yunc",Xinter+Xslope*Yval)</f>
        <v>1</v>
      </c>
    </row>
    <row r="47" spans="1:1" x14ac:dyDescent="0.2">
      <c r="A47" s="1" t="b">
        <f xml:space="preserve">  FORMULA(Yval,INDIRECT("'"&amp;S0dat&amp;"'!R"&amp;Jrow&amp;"C8",FALSE))</f>
        <v>1</v>
      </c>
    </row>
    <row r="48" spans="1:1" x14ac:dyDescent="0.2">
      <c r="A48" s="1" t="b">
        <f xml:space="preserve">  FORMULA(Yint,INDIRECT("'"&amp;S0dat&amp;"'!R"&amp;Jrow&amp;"C9",FALSE))</f>
        <v>1</v>
      </c>
    </row>
    <row r="49" spans="1:1" x14ac:dyDescent="0.2">
      <c r="A49" s="1" t="b">
        <f xml:space="preserve">  FORMULA(Yunc,INDIRECT("'"&amp;S0dat&amp;"'!R"&amp;Jrow&amp;"C10",FALSE))</f>
        <v>1</v>
      </c>
    </row>
    <row r="50" spans="1:1" x14ac:dyDescent="0.2">
      <c r="A50" s="1" t="b">
        <f>NEXT()</f>
        <v>1</v>
      </c>
    </row>
    <row r="52" spans="1:1" x14ac:dyDescent="0.2">
      <c r="A52" s="17" t="s">
        <v>18</v>
      </c>
    </row>
    <row r="53" spans="1:1" x14ac:dyDescent="0.2">
      <c r="A53" s="1" t="b">
        <f>SELECT("C8:C10")</f>
        <v>1</v>
      </c>
    </row>
    <row r="54" spans="1:1" x14ac:dyDescent="0.2">
      <c r="A54" s="1" t="b">
        <f>COLUMN.WIDTH(,,,3)</f>
        <v>1</v>
      </c>
    </row>
    <row r="55" spans="1:1" x14ac:dyDescent="0.2">
      <c r="A55" s="1" t="b">
        <f>FORMULA.GOTO("R1C1")</f>
        <v>1</v>
      </c>
    </row>
    <row r="56" spans="1:1" x14ac:dyDescent="0.2">
      <c r="A56" s="1" t="b">
        <f>HALT()</f>
        <v>1</v>
      </c>
    </row>
  </sheetData>
  <pageMargins left="0.75" right="0.75" top="1" bottom="1" header="0.5" footer="0.5"/>
  <pageSetup orientation="portrait" r:id="rId1"/>
  <headerFooter alignWithMargins="0"/>
</xm:macro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5"/>
  <sheetViews>
    <sheetView tabSelected="1" workbookViewId="0">
      <selection sqref="A1:C1"/>
    </sheetView>
  </sheetViews>
  <sheetFormatPr defaultColWidth="0.85546875" defaultRowHeight="12.75" x14ac:dyDescent="0.2"/>
  <cols>
    <col min="1" max="1" width="4" style="1" bestFit="1" customWidth="1"/>
    <col min="2" max="2" width="9.5703125" style="10" bestFit="1" customWidth="1"/>
    <col min="3" max="3" width="7.5703125" style="10" bestFit="1" customWidth="1"/>
    <col min="4" max="4" width="0.85546875" style="1" customWidth="1"/>
    <col min="5" max="5" width="9.5703125" style="1" bestFit="1" customWidth="1"/>
    <col min="6" max="6" width="6" style="1" bestFit="1" customWidth="1"/>
    <col min="7" max="7" width="0.85546875" style="1" customWidth="1"/>
    <col min="8" max="8" width="5.5703125" style="9" bestFit="1" customWidth="1"/>
    <col min="9" max="9" width="8.28515625" style="8" bestFit="1" customWidth="1"/>
    <col min="10" max="10" width="6.5703125" style="8" bestFit="1" customWidth="1"/>
    <col min="11" max="16384" width="0.85546875" style="1"/>
  </cols>
  <sheetData>
    <row r="1" spans="1:10" x14ac:dyDescent="0.2">
      <c r="A1" s="18" t="s">
        <v>0</v>
      </c>
      <c r="B1" s="18"/>
      <c r="C1" s="18"/>
      <c r="E1" s="16" t="s">
        <v>4</v>
      </c>
      <c r="F1" s="15" t="s">
        <v>5</v>
      </c>
      <c r="H1" s="19" t="s">
        <v>6</v>
      </c>
      <c r="I1" s="19"/>
      <c r="J1" s="19"/>
    </row>
    <row r="2" spans="1:10" ht="15.75" x14ac:dyDescent="0.3">
      <c r="A2" s="2" t="s">
        <v>1</v>
      </c>
      <c r="B2" s="3" t="s">
        <v>2</v>
      </c>
      <c r="C2" s="4" t="s">
        <v>3</v>
      </c>
      <c r="E2" s="13" t="s">
        <v>7</v>
      </c>
      <c r="F2" s="12">
        <v>450</v>
      </c>
      <c r="H2" s="14" t="s">
        <v>1</v>
      </c>
      <c r="I2" s="3" t="s">
        <v>8</v>
      </c>
      <c r="J2" s="4" t="s">
        <v>11</v>
      </c>
    </row>
    <row r="3" spans="1:10" x14ac:dyDescent="0.2">
      <c r="A3" s="1">
        <v>450</v>
      </c>
      <c r="B3" s="8">
        <v>4.2954061873511432E-4</v>
      </c>
      <c r="C3" s="8">
        <v>6.770512399820373E-5</v>
      </c>
      <c r="E3" s="13" t="s">
        <v>9</v>
      </c>
      <c r="F3" s="12">
        <v>650</v>
      </c>
      <c r="H3" s="9">
        <v>450</v>
      </c>
      <c r="I3" s="8">
        <v>4.2954061873511432E-4</v>
      </c>
      <c r="J3" s="8">
        <v>6.7705123998203567E-5</v>
      </c>
    </row>
    <row r="4" spans="1:10" x14ac:dyDescent="0.2">
      <c r="A4" s="1">
        <v>451</v>
      </c>
      <c r="B4" s="8">
        <v>4.9879751382469247E-4</v>
      </c>
      <c r="C4" s="8">
        <v>8.2602588409065741E-5</v>
      </c>
      <c r="E4" s="13" t="s">
        <v>10</v>
      </c>
      <c r="F4" s="12">
        <v>1</v>
      </c>
      <c r="H4" s="9">
        <v>451</v>
      </c>
      <c r="I4" s="8">
        <v>4.987975138246864E-4</v>
      </c>
      <c r="J4" s="8">
        <v>8.2602588409067326E-5</v>
      </c>
    </row>
    <row r="5" spans="1:10" x14ac:dyDescent="0.2">
      <c r="A5" s="1">
        <v>452</v>
      </c>
      <c r="B5" s="8">
        <v>5.8545926729735665E-4</v>
      </c>
      <c r="C5" s="8">
        <v>1.0067488540327871E-4</v>
      </c>
      <c r="H5" s="9">
        <v>452</v>
      </c>
      <c r="I5" s="8">
        <v>5.8545926729735437E-4</v>
      </c>
      <c r="J5" s="8">
        <v>1.0067488540327872E-4</v>
      </c>
    </row>
    <row r="6" spans="1:10" x14ac:dyDescent="0.2">
      <c r="A6" s="1">
        <v>453</v>
      </c>
      <c r="B6" s="8">
        <v>7.0306183872745906E-4</v>
      </c>
      <c r="C6" s="8">
        <v>1.2455464603348645E-4</v>
      </c>
      <c r="H6" s="9">
        <v>453</v>
      </c>
      <c r="I6" s="8">
        <v>7.0306183872745343E-4</v>
      </c>
      <c r="J6" s="8">
        <v>1.245546460334878E-4</v>
      </c>
    </row>
    <row r="7" spans="1:10" x14ac:dyDescent="0.2">
      <c r="A7" s="1">
        <v>454</v>
      </c>
      <c r="B7" s="8">
        <v>8.0845813078025855E-4</v>
      </c>
      <c r="C7" s="8">
        <v>1.4669327215644507E-4</v>
      </c>
      <c r="H7" s="9">
        <v>454</v>
      </c>
      <c r="I7" s="8">
        <v>8.0845813078025963E-4</v>
      </c>
      <c r="J7" s="8">
        <v>1.4669327215644651E-4</v>
      </c>
    </row>
    <row r="8" spans="1:10" x14ac:dyDescent="0.2">
      <c r="A8" s="1">
        <v>455</v>
      </c>
      <c r="B8" s="8">
        <v>9.8670648097284983E-4</v>
      </c>
      <c r="C8" s="8">
        <v>1.827109732210955E-4</v>
      </c>
      <c r="H8" s="9">
        <v>455</v>
      </c>
      <c r="I8" s="8">
        <v>9.8670648097286262E-4</v>
      </c>
      <c r="J8" s="8">
        <v>1.8271097322109485E-4</v>
      </c>
    </row>
    <row r="9" spans="1:10" x14ac:dyDescent="0.2">
      <c r="A9" s="1">
        <v>456</v>
      </c>
      <c r="B9" s="8">
        <v>1.1524510357402336E-3</v>
      </c>
      <c r="C9" s="8">
        <v>2.1713563027084875E-4</v>
      </c>
      <c r="H9" s="9">
        <v>456</v>
      </c>
      <c r="I9" s="8">
        <v>1.152451035740229E-3</v>
      </c>
      <c r="J9" s="8">
        <v>2.1713563027084617E-4</v>
      </c>
    </row>
    <row r="10" spans="1:10" x14ac:dyDescent="0.2">
      <c r="A10" s="1">
        <v>457</v>
      </c>
      <c r="B10" s="8">
        <v>1.3691839345430716E-3</v>
      </c>
      <c r="C10" s="8">
        <v>2.6201538229046262E-4</v>
      </c>
      <c r="H10" s="9">
        <v>457</v>
      </c>
      <c r="I10" s="8">
        <v>1.3691839345430501E-3</v>
      </c>
      <c r="J10" s="8">
        <v>2.6201538229046056E-4</v>
      </c>
    </row>
    <row r="11" spans="1:10" x14ac:dyDescent="0.2">
      <c r="A11" s="1">
        <v>458</v>
      </c>
      <c r="B11" s="8">
        <v>1.6457064254102368E-3</v>
      </c>
      <c r="C11" s="8">
        <v>3.1934109878361963E-4</v>
      </c>
      <c r="H11" s="9">
        <v>458</v>
      </c>
      <c r="I11" s="8">
        <v>1.6457064254102455E-3</v>
      </c>
      <c r="J11" s="8">
        <v>3.1934109878361747E-4</v>
      </c>
    </row>
    <row r="12" spans="1:10" x14ac:dyDescent="0.2">
      <c r="A12" s="1">
        <v>459</v>
      </c>
      <c r="B12" s="8">
        <v>1.912599293210492E-3</v>
      </c>
      <c r="C12" s="8">
        <v>3.7584511960957488E-4</v>
      </c>
      <c r="H12" s="9">
        <v>459</v>
      </c>
      <c r="I12" s="8">
        <v>1.9125992932104707E-3</v>
      </c>
      <c r="J12" s="8">
        <v>3.758451196095719E-4</v>
      </c>
    </row>
    <row r="13" spans="1:10" x14ac:dyDescent="0.2">
      <c r="A13" s="1">
        <v>460</v>
      </c>
      <c r="B13" s="8">
        <v>2.351199834366709E-3</v>
      </c>
      <c r="C13" s="8">
        <v>4.6728142335732321E-4</v>
      </c>
      <c r="H13" s="9">
        <v>460</v>
      </c>
      <c r="I13" s="8">
        <v>2.3511998343666851E-3</v>
      </c>
      <c r="J13" s="8">
        <v>4.6728142335732137E-4</v>
      </c>
    </row>
    <row r="14" spans="1:10" x14ac:dyDescent="0.2">
      <c r="A14" s="1">
        <v>461</v>
      </c>
      <c r="B14" s="8">
        <v>2.8253110180277629E-3</v>
      </c>
      <c r="C14" s="8">
        <v>5.6682005575623979E-4</v>
      </c>
      <c r="H14" s="9">
        <v>461</v>
      </c>
      <c r="I14" s="8">
        <v>2.8253110180277985E-3</v>
      </c>
      <c r="J14" s="8">
        <v>5.668200557562425E-4</v>
      </c>
    </row>
    <row r="15" spans="1:10" x14ac:dyDescent="0.2">
      <c r="A15" s="1">
        <v>462</v>
      </c>
      <c r="B15" s="8">
        <v>3.4017566558955186E-3</v>
      </c>
      <c r="C15" s="8">
        <v>6.8779296214766482E-4</v>
      </c>
      <c r="H15" s="9">
        <v>462</v>
      </c>
      <c r="I15" s="8">
        <v>3.4017566558955381E-3</v>
      </c>
      <c r="J15" s="8">
        <v>6.8779296214765973E-4</v>
      </c>
    </row>
    <row r="16" spans="1:10" x14ac:dyDescent="0.2">
      <c r="A16" s="1">
        <v>463</v>
      </c>
      <c r="B16" s="8">
        <v>4.0805944232121267E-3</v>
      </c>
      <c r="C16" s="8">
        <v>8.2960634291868258E-4</v>
      </c>
      <c r="H16" s="9">
        <v>463</v>
      </c>
      <c r="I16" s="8">
        <v>4.080594423212125E-3</v>
      </c>
      <c r="J16" s="8">
        <v>8.2960634291869007E-4</v>
      </c>
    </row>
    <row r="17" spans="1:10" x14ac:dyDescent="0.2">
      <c r="A17" s="1">
        <v>464</v>
      </c>
      <c r="B17" s="8">
        <v>4.9819091733928414E-3</v>
      </c>
      <c r="C17" s="8">
        <v>1.0163362937460768E-3</v>
      </c>
      <c r="H17" s="9">
        <v>464</v>
      </c>
      <c r="I17" s="8">
        <v>4.9819091733929177E-3</v>
      </c>
      <c r="J17" s="8">
        <v>1.0163362937460757E-3</v>
      </c>
    </row>
    <row r="18" spans="1:10" x14ac:dyDescent="0.2">
      <c r="A18" s="1">
        <v>465</v>
      </c>
      <c r="B18" s="8">
        <v>6.0907498660285869E-3</v>
      </c>
      <c r="C18" s="8">
        <v>1.2436389336878293E-3</v>
      </c>
      <c r="H18" s="9">
        <v>465</v>
      </c>
      <c r="I18" s="8">
        <v>6.0907498660285331E-3</v>
      </c>
      <c r="J18" s="8">
        <v>1.2436389336878267E-3</v>
      </c>
    </row>
    <row r="19" spans="1:10" x14ac:dyDescent="0.2">
      <c r="A19" s="1">
        <v>466</v>
      </c>
      <c r="B19" s="8">
        <v>7.279951008566792E-3</v>
      </c>
      <c r="C19" s="8">
        <v>1.4838363494227237E-3</v>
      </c>
      <c r="H19" s="9">
        <v>466</v>
      </c>
      <c r="I19" s="8">
        <v>7.2799510085668206E-3</v>
      </c>
      <c r="J19" s="8">
        <v>1.4838363494227291E-3</v>
      </c>
    </row>
    <row r="20" spans="1:10" x14ac:dyDescent="0.2">
      <c r="A20" s="1">
        <v>467</v>
      </c>
      <c r="B20" s="8">
        <v>8.8176404820291925E-3</v>
      </c>
      <c r="C20" s="8">
        <v>1.7887834713110012E-3</v>
      </c>
      <c r="H20" s="9">
        <v>467</v>
      </c>
      <c r="I20" s="8">
        <v>8.8176404820292653E-3</v>
      </c>
      <c r="J20" s="8">
        <v>1.7887834713109785E-3</v>
      </c>
    </row>
    <row r="21" spans="1:10" x14ac:dyDescent="0.2">
      <c r="A21" s="1">
        <v>468</v>
      </c>
      <c r="B21" s="8">
        <v>1.0499250426858281E-2</v>
      </c>
      <c r="C21" s="8">
        <v>2.1138062535211765E-3</v>
      </c>
      <c r="H21" s="9">
        <v>468</v>
      </c>
      <c r="I21" s="8">
        <v>1.0499250426858397E-2</v>
      </c>
      <c r="J21" s="8">
        <v>2.1138062535211999E-3</v>
      </c>
    </row>
    <row r="22" spans="1:10" x14ac:dyDescent="0.2">
      <c r="A22" s="1">
        <v>469</v>
      </c>
      <c r="B22" s="8">
        <v>1.2598364358276191E-2</v>
      </c>
      <c r="C22" s="8">
        <v>2.5096461185070765E-3</v>
      </c>
      <c r="H22" s="9">
        <v>469</v>
      </c>
      <c r="I22" s="8">
        <v>1.2598364358276326E-2</v>
      </c>
      <c r="J22" s="8">
        <v>2.5096461185070973E-3</v>
      </c>
    </row>
    <row r="23" spans="1:10" x14ac:dyDescent="0.2">
      <c r="A23" s="1">
        <v>470</v>
      </c>
      <c r="B23" s="8">
        <v>1.5025246652012091E-2</v>
      </c>
      <c r="C23" s="8">
        <v>2.9516076180462281E-3</v>
      </c>
      <c r="H23" s="9">
        <v>470</v>
      </c>
      <c r="I23" s="8">
        <v>1.5025246652011992E-2</v>
      </c>
      <c r="J23" s="8">
        <v>2.9516076180462203E-3</v>
      </c>
    </row>
    <row r="24" spans="1:10" x14ac:dyDescent="0.2">
      <c r="A24" s="1">
        <v>471</v>
      </c>
      <c r="B24" s="8">
        <v>1.7788179246507801E-2</v>
      </c>
      <c r="C24" s="8">
        <v>3.436816866930668E-3</v>
      </c>
      <c r="H24" s="9">
        <v>471</v>
      </c>
      <c r="I24" s="8">
        <v>1.7788179246507774E-2</v>
      </c>
      <c r="J24" s="8">
        <v>3.4368168669307031E-3</v>
      </c>
    </row>
    <row r="25" spans="1:10" x14ac:dyDescent="0.2">
      <c r="A25" s="1">
        <v>472</v>
      </c>
      <c r="B25" s="8">
        <v>2.1135601415254571E-2</v>
      </c>
      <c r="C25" s="8">
        <v>4.0021549123951655E-3</v>
      </c>
      <c r="H25" s="9">
        <v>472</v>
      </c>
      <c r="I25" s="8">
        <v>2.1135601415254612E-2</v>
      </c>
      <c r="J25" s="8">
        <v>4.0021549123951394E-3</v>
      </c>
    </row>
    <row r="26" spans="1:10" x14ac:dyDescent="0.2">
      <c r="A26" s="1">
        <v>473</v>
      </c>
      <c r="B26" s="8">
        <v>2.4744429907895563E-2</v>
      </c>
      <c r="C26" s="8">
        <v>4.5790815757697804E-3</v>
      </c>
      <c r="H26" s="9">
        <v>473</v>
      </c>
      <c r="I26" s="8">
        <v>2.4744429907895604E-2</v>
      </c>
      <c r="J26" s="8">
        <v>4.5790815757698056E-3</v>
      </c>
    </row>
    <row r="27" spans="1:10" x14ac:dyDescent="0.2">
      <c r="A27" s="1">
        <v>474</v>
      </c>
      <c r="B27" s="8">
        <v>2.9285863507304777E-2</v>
      </c>
      <c r="C27" s="8">
        <v>5.2795035793720144E-3</v>
      </c>
      <c r="H27" s="9">
        <v>474</v>
      </c>
      <c r="I27" s="8">
        <v>2.9285863507304555E-2</v>
      </c>
      <c r="J27" s="8">
        <v>5.279503579372069E-3</v>
      </c>
    </row>
    <row r="28" spans="1:10" x14ac:dyDescent="0.2">
      <c r="A28" s="1">
        <v>475</v>
      </c>
      <c r="B28" s="8">
        <v>3.4646064577893591E-2</v>
      </c>
      <c r="C28" s="8">
        <v>6.0668223688333713E-3</v>
      </c>
      <c r="H28" s="9">
        <v>475</v>
      </c>
      <c r="I28" s="8">
        <v>3.4646064577893654E-2</v>
      </c>
      <c r="J28" s="8">
        <v>6.06682236883338E-3</v>
      </c>
    </row>
    <row r="29" spans="1:10" x14ac:dyDescent="0.2">
      <c r="A29" s="1">
        <v>476</v>
      </c>
      <c r="B29" s="8">
        <v>4.0238986924119431E-2</v>
      </c>
      <c r="C29" s="8">
        <v>6.8255475766203786E-3</v>
      </c>
      <c r="H29" s="9">
        <v>476</v>
      </c>
      <c r="I29" s="8">
        <v>4.0238986924119313E-2</v>
      </c>
      <c r="J29" s="8">
        <v>6.8255475766204055E-3</v>
      </c>
    </row>
    <row r="30" spans="1:10" x14ac:dyDescent="0.2">
      <c r="A30" s="1">
        <v>477</v>
      </c>
      <c r="B30" s="8">
        <v>4.7076361143046773E-2</v>
      </c>
      <c r="C30" s="8">
        <v>7.7113110951146568E-3</v>
      </c>
      <c r="H30" s="9">
        <v>477</v>
      </c>
      <c r="I30" s="8">
        <v>4.7076361143046697E-2</v>
      </c>
      <c r="J30" s="8">
        <v>7.7113110951146369E-3</v>
      </c>
    </row>
    <row r="31" spans="1:10" x14ac:dyDescent="0.2">
      <c r="A31" s="1">
        <v>478</v>
      </c>
      <c r="B31" s="8">
        <v>5.4597189146710183E-2</v>
      </c>
      <c r="C31" s="8">
        <v>8.6151822153045093E-3</v>
      </c>
      <c r="H31" s="9">
        <v>478</v>
      </c>
      <c r="I31" s="8">
        <v>5.4597189146710967E-2</v>
      </c>
      <c r="J31" s="8">
        <v>8.615182215304551E-3</v>
      </c>
    </row>
    <row r="32" spans="1:10" x14ac:dyDescent="0.2">
      <c r="A32" s="1">
        <v>479</v>
      </c>
      <c r="B32" s="8">
        <v>6.3822969992783946E-2</v>
      </c>
      <c r="C32" s="8">
        <v>9.6776059622508768E-3</v>
      </c>
      <c r="H32" s="9">
        <v>479</v>
      </c>
      <c r="I32" s="8">
        <v>6.3822969992783918E-2</v>
      </c>
      <c r="J32" s="8">
        <v>9.6776059622508681E-3</v>
      </c>
    </row>
    <row r="33" spans="1:10" x14ac:dyDescent="0.2">
      <c r="A33" s="1">
        <v>480</v>
      </c>
      <c r="B33" s="8">
        <v>7.4143247904965862E-2</v>
      </c>
      <c r="C33" s="8">
        <v>1.077926205002919E-2</v>
      </c>
      <c r="H33" s="9">
        <v>480</v>
      </c>
      <c r="I33" s="8">
        <v>7.4143247904966181E-2</v>
      </c>
      <c r="J33" s="8">
        <v>1.0779262050029215E-2</v>
      </c>
    </row>
    <row r="34" spans="1:10" x14ac:dyDescent="0.2">
      <c r="A34" s="1">
        <v>481</v>
      </c>
      <c r="B34" s="8">
        <v>8.5325932091621412E-2</v>
      </c>
      <c r="C34" s="8">
        <v>1.1866932653825803E-2</v>
      </c>
      <c r="H34" s="9">
        <v>481</v>
      </c>
      <c r="I34" s="8">
        <v>8.5325932091620871E-2</v>
      </c>
      <c r="J34" s="8">
        <v>1.1866932653825768E-2</v>
      </c>
    </row>
    <row r="35" spans="1:10" x14ac:dyDescent="0.2">
      <c r="A35" s="1">
        <v>482</v>
      </c>
      <c r="B35" s="8">
        <v>9.8115868246864885E-2</v>
      </c>
      <c r="C35" s="8">
        <v>1.3030790216167041E-2</v>
      </c>
      <c r="H35" s="9">
        <v>482</v>
      </c>
      <c r="I35" s="8">
        <v>9.8115868246864579E-2</v>
      </c>
      <c r="J35" s="8">
        <v>1.3030790216167043E-2</v>
      </c>
    </row>
    <row r="36" spans="1:10" x14ac:dyDescent="0.2">
      <c r="A36" s="1">
        <v>483</v>
      </c>
      <c r="B36" s="8">
        <v>0.11253210404822628</v>
      </c>
      <c r="C36" s="8">
        <v>1.4251161048994187E-2</v>
      </c>
      <c r="H36" s="9">
        <v>483</v>
      </c>
      <c r="I36" s="8">
        <v>0.11253210404822678</v>
      </c>
      <c r="J36" s="8">
        <v>1.4251161048994154E-2</v>
      </c>
    </row>
    <row r="37" spans="1:10" x14ac:dyDescent="0.2">
      <c r="A37" s="1">
        <v>484</v>
      </c>
      <c r="B37" s="8">
        <v>0.1276864136314716</v>
      </c>
      <c r="C37" s="8">
        <v>1.5402098150739403E-2</v>
      </c>
      <c r="H37" s="9">
        <v>484</v>
      </c>
      <c r="I37" s="8">
        <v>0.12768641363147104</v>
      </c>
      <c r="J37" s="8">
        <v>1.5402098150739452E-2</v>
      </c>
    </row>
    <row r="38" spans="1:10" x14ac:dyDescent="0.2">
      <c r="A38" s="1">
        <v>485</v>
      </c>
      <c r="B38" s="8">
        <v>0.14483727845252922</v>
      </c>
      <c r="C38" s="8">
        <v>1.662627578015162E-2</v>
      </c>
      <c r="H38" s="9">
        <v>485</v>
      </c>
      <c r="I38" s="8">
        <v>0.14483727845252936</v>
      </c>
      <c r="J38" s="8">
        <v>1.6626275780151634E-2</v>
      </c>
    </row>
    <row r="39" spans="1:10" x14ac:dyDescent="0.2">
      <c r="A39" s="1">
        <v>486</v>
      </c>
      <c r="B39" s="8">
        <v>0.16228908678468776</v>
      </c>
      <c r="C39" s="8">
        <v>1.7710395593016404E-2</v>
      </c>
      <c r="H39" s="9">
        <v>486</v>
      </c>
      <c r="I39" s="8">
        <v>0.16228908678468734</v>
      </c>
      <c r="J39" s="8">
        <v>1.7710395593016459E-2</v>
      </c>
    </row>
    <row r="40" spans="1:10" x14ac:dyDescent="0.2">
      <c r="A40" s="1">
        <v>487</v>
      </c>
      <c r="B40" s="8">
        <v>0.18271819041593826</v>
      </c>
      <c r="C40" s="8">
        <v>1.895665946190973E-2</v>
      </c>
      <c r="H40" s="9">
        <v>487</v>
      </c>
      <c r="I40" s="8">
        <v>0.18271819041593851</v>
      </c>
      <c r="J40" s="8">
        <v>1.895665946190972E-2</v>
      </c>
    </row>
    <row r="41" spans="1:10" x14ac:dyDescent="0.2">
      <c r="A41" s="1">
        <v>488</v>
      </c>
      <c r="B41" s="8">
        <v>0.20415244331200424</v>
      </c>
      <c r="C41" s="8">
        <v>2.012688919063077E-2</v>
      </c>
      <c r="H41" s="9">
        <v>488</v>
      </c>
      <c r="I41" s="8">
        <v>0.20415244331200455</v>
      </c>
      <c r="J41" s="8">
        <v>2.012688919063077E-2</v>
      </c>
    </row>
    <row r="42" spans="1:10" x14ac:dyDescent="0.2">
      <c r="A42" s="1">
        <v>489</v>
      </c>
      <c r="B42" s="8">
        <v>0.2262770453156685</v>
      </c>
      <c r="C42" s="8">
        <v>2.1208683258718216E-2</v>
      </c>
      <c r="H42" s="9">
        <v>489</v>
      </c>
      <c r="I42" s="8">
        <v>0.22627704531566906</v>
      </c>
      <c r="J42" s="8">
        <v>2.1208683258718275E-2</v>
      </c>
    </row>
    <row r="43" spans="1:10" x14ac:dyDescent="0.2">
      <c r="A43" s="1">
        <v>490</v>
      </c>
      <c r="B43" s="8">
        <v>0.25147772826335113</v>
      </c>
      <c r="C43" s="8">
        <v>2.2429576125985472E-2</v>
      </c>
      <c r="H43" s="9">
        <v>490</v>
      </c>
      <c r="I43" s="8">
        <v>0.25147772826335135</v>
      </c>
      <c r="J43" s="8">
        <v>2.2429576125985617E-2</v>
      </c>
    </row>
    <row r="44" spans="1:10" x14ac:dyDescent="0.2">
      <c r="A44" s="1">
        <v>491</v>
      </c>
      <c r="B44" s="8">
        <v>0.27908916337989936</v>
      </c>
      <c r="C44" s="8">
        <v>2.3703419225038096E-2</v>
      </c>
      <c r="H44" s="9">
        <v>491</v>
      </c>
      <c r="I44" s="8">
        <v>0.27908916337989886</v>
      </c>
      <c r="J44" s="8">
        <v>2.3703419225038047E-2</v>
      </c>
    </row>
    <row r="45" spans="1:10" x14ac:dyDescent="0.2">
      <c r="A45" s="1">
        <v>492</v>
      </c>
      <c r="B45" s="8">
        <v>0.30848522681995699</v>
      </c>
      <c r="C45" s="8">
        <v>2.4981204708897913E-2</v>
      </c>
      <c r="H45" s="9">
        <v>492</v>
      </c>
      <c r="I45" s="8">
        <v>0.30848522681996116</v>
      </c>
      <c r="J45" s="8">
        <v>2.4981204708897975E-2</v>
      </c>
    </row>
    <row r="46" spans="1:10" x14ac:dyDescent="0.2">
      <c r="A46" s="1">
        <v>493</v>
      </c>
      <c r="B46" s="8">
        <v>0.34165213045944576</v>
      </c>
      <c r="C46" s="8">
        <v>2.6416053782298006E-2</v>
      </c>
      <c r="H46" s="9">
        <v>493</v>
      </c>
      <c r="I46" s="8">
        <v>0.34165213045944398</v>
      </c>
      <c r="J46" s="8">
        <v>2.6416053782298055E-2</v>
      </c>
    </row>
    <row r="47" spans="1:10" x14ac:dyDescent="0.2">
      <c r="A47" s="1">
        <v>494</v>
      </c>
      <c r="B47" s="8">
        <v>0.37789747579450383</v>
      </c>
      <c r="C47" s="8">
        <v>2.793876069724294E-2</v>
      </c>
      <c r="H47" s="9">
        <v>494</v>
      </c>
      <c r="I47" s="8">
        <v>0.37789747579450506</v>
      </c>
      <c r="J47" s="8">
        <v>2.7938760697242881E-2</v>
      </c>
    </row>
    <row r="48" spans="1:10" x14ac:dyDescent="0.2">
      <c r="A48" s="1">
        <v>495</v>
      </c>
      <c r="B48" s="8">
        <v>0.41419128298679148</v>
      </c>
      <c r="C48" s="8">
        <v>2.9346387557024286E-2</v>
      </c>
      <c r="H48" s="9">
        <v>495</v>
      </c>
      <c r="I48" s="8">
        <v>0.41419128298678842</v>
      </c>
      <c r="J48" s="8">
        <v>2.9346387557024234E-2</v>
      </c>
    </row>
    <row r="49" spans="1:10" x14ac:dyDescent="0.2">
      <c r="A49" s="1">
        <v>496</v>
      </c>
      <c r="B49" s="8">
        <v>0.45610444822077123</v>
      </c>
      <c r="C49" s="8">
        <v>3.1014310538660536E-2</v>
      </c>
      <c r="H49" s="9">
        <v>496</v>
      </c>
      <c r="I49" s="8">
        <v>0.45610444822077056</v>
      </c>
      <c r="J49" s="8">
        <v>3.101431053866055E-2</v>
      </c>
    </row>
    <row r="50" spans="1:10" x14ac:dyDescent="0.2">
      <c r="A50" s="1">
        <v>497</v>
      </c>
      <c r="B50" s="8">
        <v>0.50037792883188903</v>
      </c>
      <c r="C50" s="8">
        <v>3.2715364162051841E-2</v>
      </c>
      <c r="H50" s="9">
        <v>497</v>
      </c>
      <c r="I50" s="8">
        <v>0.50037792883188814</v>
      </c>
      <c r="J50" s="8">
        <v>3.2715364162051896E-2</v>
      </c>
    </row>
    <row r="51" spans="1:10" x14ac:dyDescent="0.2">
      <c r="A51" s="1">
        <v>498</v>
      </c>
      <c r="B51" s="8">
        <v>0.54413494574140897</v>
      </c>
      <c r="C51" s="8">
        <v>3.4284199373360705E-2</v>
      </c>
      <c r="H51" s="9">
        <v>498</v>
      </c>
      <c r="I51" s="8">
        <v>0.54413494574140842</v>
      </c>
      <c r="J51" s="8">
        <v>3.428419937336058E-2</v>
      </c>
    </row>
    <row r="52" spans="1:10" x14ac:dyDescent="0.2">
      <c r="A52" s="1">
        <v>499</v>
      </c>
      <c r="B52" s="8">
        <v>0.59087560905460157</v>
      </c>
      <c r="C52" s="8">
        <v>3.5958413403670647E-2</v>
      </c>
      <c r="H52" s="9">
        <v>499</v>
      </c>
      <c r="I52" s="8">
        <v>0.59087560905460279</v>
      </c>
      <c r="J52" s="8">
        <v>3.5958413403670564E-2</v>
      </c>
    </row>
    <row r="53" spans="1:10" x14ac:dyDescent="0.2">
      <c r="A53" s="1">
        <v>500</v>
      </c>
      <c r="B53" s="8">
        <v>0.63734893511261492</v>
      </c>
      <c r="C53" s="8">
        <v>3.7512776298036739E-2</v>
      </c>
      <c r="H53" s="9">
        <v>500</v>
      </c>
      <c r="I53" s="8">
        <v>0.63734893511261603</v>
      </c>
      <c r="J53" s="8">
        <v>3.7512776298036732E-2</v>
      </c>
    </row>
    <row r="54" spans="1:10" x14ac:dyDescent="0.2">
      <c r="A54" s="1">
        <v>501</v>
      </c>
      <c r="B54" s="8">
        <v>0.68011300950304732</v>
      </c>
      <c r="C54" s="8">
        <v>3.8795660507035881E-2</v>
      </c>
      <c r="H54" s="9">
        <v>501</v>
      </c>
      <c r="I54" s="8">
        <v>0.68011300950304587</v>
      </c>
      <c r="J54" s="8">
        <v>3.8795660507035756E-2</v>
      </c>
    </row>
    <row r="55" spans="1:10" x14ac:dyDescent="0.2">
      <c r="A55" s="1">
        <v>502</v>
      </c>
      <c r="B55" s="8">
        <v>0.72157821532078426</v>
      </c>
      <c r="C55" s="8">
        <v>3.9948457073111968E-2</v>
      </c>
      <c r="H55" s="9">
        <v>502</v>
      </c>
      <c r="I55" s="8">
        <v>0.72157821532078614</v>
      </c>
      <c r="J55" s="8">
        <v>3.9948457073112009E-2</v>
      </c>
    </row>
    <row r="56" spans="1:10" x14ac:dyDescent="0.2">
      <c r="A56" s="1">
        <v>503</v>
      </c>
      <c r="B56" s="8">
        <v>0.75874433466197999</v>
      </c>
      <c r="C56" s="8">
        <v>4.0840047828927022E-2</v>
      </c>
      <c r="H56" s="9">
        <v>503</v>
      </c>
      <c r="I56" s="8">
        <v>0.75874433466197999</v>
      </c>
      <c r="J56" s="8">
        <v>4.0840047828927029E-2</v>
      </c>
    </row>
    <row r="57" spans="1:10" x14ac:dyDescent="0.2">
      <c r="A57" s="1">
        <v>504</v>
      </c>
      <c r="B57" s="8">
        <v>0.79017516852349912</v>
      </c>
      <c r="C57" s="8">
        <v>4.1407047678808213E-2</v>
      </c>
      <c r="H57" s="9">
        <v>504</v>
      </c>
      <c r="I57" s="8">
        <v>0.79017516852349701</v>
      </c>
      <c r="J57" s="8">
        <v>4.1407047678808206E-2</v>
      </c>
    </row>
    <row r="58" spans="1:10" x14ac:dyDescent="0.2">
      <c r="A58" s="1">
        <v>505</v>
      </c>
      <c r="B58" s="8">
        <v>0.81728528668047606</v>
      </c>
      <c r="C58" s="8">
        <v>4.1749652710570705E-2</v>
      </c>
      <c r="H58" s="9">
        <v>505</v>
      </c>
      <c r="I58" s="8">
        <v>0.81728528668047495</v>
      </c>
      <c r="J58" s="8">
        <v>4.1749652710570705E-2</v>
      </c>
    </row>
    <row r="59" spans="1:10" x14ac:dyDescent="0.2">
      <c r="A59" s="1">
        <v>506</v>
      </c>
      <c r="B59" s="8">
        <v>0.83725102431146325</v>
      </c>
      <c r="C59" s="8">
        <v>4.1719667677226992E-2</v>
      </c>
      <c r="H59" s="9">
        <v>506</v>
      </c>
      <c r="I59" s="8">
        <v>0.83725102431146325</v>
      </c>
      <c r="J59" s="8">
        <v>4.1719667677226985E-2</v>
      </c>
    </row>
    <row r="60" spans="1:10" x14ac:dyDescent="0.2">
      <c r="A60" s="1">
        <v>507</v>
      </c>
      <c r="B60" s="8">
        <v>0.85185028144420916</v>
      </c>
      <c r="C60" s="8">
        <v>4.1431554695665819E-2</v>
      </c>
      <c r="H60" s="9">
        <v>507</v>
      </c>
      <c r="I60" s="8">
        <v>0.85185028144420905</v>
      </c>
      <c r="J60" s="8">
        <v>4.1431554695665812E-2</v>
      </c>
    </row>
    <row r="61" spans="1:10" x14ac:dyDescent="0.2">
      <c r="A61" s="1">
        <v>508</v>
      </c>
      <c r="B61" s="8">
        <v>0.86168955571385197</v>
      </c>
      <c r="C61" s="8">
        <v>4.0949321969231706E-2</v>
      </c>
      <c r="H61" s="9">
        <v>508</v>
      </c>
      <c r="I61" s="8">
        <v>0.86168955571385175</v>
      </c>
      <c r="J61" s="8">
        <v>4.0949321969231733E-2</v>
      </c>
    </row>
    <row r="62" spans="1:10" x14ac:dyDescent="0.2">
      <c r="A62" s="1">
        <v>509</v>
      </c>
      <c r="B62" s="8">
        <v>0.86624178152802633</v>
      </c>
      <c r="C62" s="8">
        <v>4.0226879116812449E-2</v>
      </c>
      <c r="H62" s="9">
        <v>509</v>
      </c>
      <c r="I62" s="8">
        <v>0.86624178152802656</v>
      </c>
      <c r="J62" s="8">
        <v>4.0226879116812386E-2</v>
      </c>
    </row>
    <row r="63" spans="1:10" x14ac:dyDescent="0.2">
      <c r="A63" s="1">
        <v>510</v>
      </c>
      <c r="B63" s="8">
        <v>0.86838981182617336</v>
      </c>
      <c r="C63" s="8">
        <v>3.9419634467712274E-2</v>
      </c>
      <c r="H63" s="9">
        <v>510</v>
      </c>
      <c r="I63" s="8">
        <v>0.86838981182617347</v>
      </c>
      <c r="J63" s="8">
        <v>3.9419634467712239E-2</v>
      </c>
    </row>
    <row r="64" spans="1:10" x14ac:dyDescent="0.2">
      <c r="A64" s="1">
        <v>511</v>
      </c>
      <c r="B64" s="8">
        <v>0.86641031341547237</v>
      </c>
      <c r="C64" s="8">
        <v>3.8478823497338492E-2</v>
      </c>
      <c r="H64" s="9">
        <v>511</v>
      </c>
      <c r="I64" s="8">
        <v>0.86641031341547237</v>
      </c>
      <c r="J64" s="8">
        <v>3.8478823497338444E-2</v>
      </c>
    </row>
    <row r="65" spans="1:10" x14ac:dyDescent="0.2">
      <c r="A65" s="1">
        <v>512</v>
      </c>
      <c r="B65" s="8">
        <v>0.86443995716090105</v>
      </c>
      <c r="C65" s="8">
        <v>3.7549291938011535E-2</v>
      </c>
      <c r="H65" s="9">
        <v>512</v>
      </c>
      <c r="I65" s="8">
        <v>0.86443995716090116</v>
      </c>
      <c r="J65" s="8">
        <v>3.7549291938011597E-2</v>
      </c>
    </row>
    <row r="66" spans="1:10" x14ac:dyDescent="0.2">
      <c r="A66" s="1">
        <v>513</v>
      </c>
      <c r="B66" s="8">
        <v>0.86063925827637799</v>
      </c>
      <c r="C66" s="8">
        <v>3.659444269563749E-2</v>
      </c>
      <c r="H66" s="9">
        <v>513</v>
      </c>
      <c r="I66" s="8">
        <v>0.86063925827637811</v>
      </c>
      <c r="J66" s="8">
        <v>3.6594442695637441E-2</v>
      </c>
    </row>
    <row r="67" spans="1:10" x14ac:dyDescent="0.2">
      <c r="A67" s="1">
        <v>514</v>
      </c>
      <c r="B67" s="8">
        <v>0.86069458403698984</v>
      </c>
      <c r="C67" s="8">
        <v>3.583162548540348E-2</v>
      </c>
      <c r="H67" s="9">
        <v>514</v>
      </c>
      <c r="I67" s="8">
        <v>0.86069458403698973</v>
      </c>
      <c r="J67" s="8">
        <v>3.5831625485403473E-2</v>
      </c>
    </row>
    <row r="68" spans="1:10" x14ac:dyDescent="0.2">
      <c r="A68" s="1">
        <v>515</v>
      </c>
      <c r="B68" s="8">
        <v>0.86286898434255443</v>
      </c>
      <c r="C68" s="8">
        <v>3.5187165556659329E-2</v>
      </c>
      <c r="H68" s="9">
        <v>515</v>
      </c>
      <c r="I68" s="8">
        <v>0.86286898434255432</v>
      </c>
      <c r="J68" s="8">
        <v>3.5187165556659322E-2</v>
      </c>
    </row>
    <row r="69" spans="1:10" x14ac:dyDescent="0.2">
      <c r="A69" s="1">
        <v>516</v>
      </c>
      <c r="B69" s="8">
        <v>0.86864176098992707</v>
      </c>
      <c r="C69" s="8">
        <v>3.4729444772407775E-2</v>
      </c>
      <c r="H69" s="9">
        <v>516</v>
      </c>
      <c r="I69" s="8">
        <v>0.86864176098992729</v>
      </c>
      <c r="J69" s="8">
        <v>3.4729444772407775E-2</v>
      </c>
    </row>
    <row r="70" spans="1:10" x14ac:dyDescent="0.2">
      <c r="A70" s="1">
        <v>517</v>
      </c>
      <c r="B70" s="8">
        <v>0.87824228502057933</v>
      </c>
      <c r="C70" s="8">
        <v>3.4464775390888845E-2</v>
      </c>
      <c r="H70" s="9">
        <v>517</v>
      </c>
      <c r="I70" s="8">
        <v>0.87824228502057888</v>
      </c>
      <c r="J70" s="8">
        <v>3.4464775390888852E-2</v>
      </c>
    </row>
    <row r="71" spans="1:10" x14ac:dyDescent="0.2">
      <c r="A71" s="1">
        <v>518</v>
      </c>
      <c r="B71" s="8">
        <v>0.89027704892259363</v>
      </c>
      <c r="C71" s="8">
        <v>3.4334068465434672E-2</v>
      </c>
      <c r="H71" s="9">
        <v>518</v>
      </c>
      <c r="I71" s="8">
        <v>0.89027704892259329</v>
      </c>
      <c r="J71" s="8">
        <v>3.4334068465434672E-2</v>
      </c>
    </row>
    <row r="72" spans="1:10" x14ac:dyDescent="0.2">
      <c r="A72" s="1">
        <v>519</v>
      </c>
      <c r="B72" s="8">
        <v>0.90507173844872679</v>
      </c>
      <c r="C72" s="8">
        <v>3.4361016456495606E-2</v>
      </c>
      <c r="H72" s="9">
        <v>519</v>
      </c>
      <c r="I72" s="8">
        <v>0.90507173844872835</v>
      </c>
      <c r="J72" s="8">
        <v>3.4361016456495613E-2</v>
      </c>
    </row>
    <row r="73" spans="1:10" x14ac:dyDescent="0.2">
      <c r="A73" s="1">
        <v>520</v>
      </c>
      <c r="B73" s="8">
        <v>0.92175559362474857</v>
      </c>
      <c r="C73" s="8">
        <v>3.4516851499418418E-2</v>
      </c>
      <c r="H73" s="9">
        <v>520</v>
      </c>
      <c r="I73" s="8">
        <v>0.92175559362474857</v>
      </c>
      <c r="J73" s="8">
        <v>3.4516851499418411E-2</v>
      </c>
    </row>
    <row r="74" spans="1:10" x14ac:dyDescent="0.2">
      <c r="A74" s="1">
        <v>521</v>
      </c>
      <c r="B74" s="8">
        <v>0.94092729206281667</v>
      </c>
      <c r="C74" s="8">
        <v>3.483231408403533E-2</v>
      </c>
      <c r="H74" s="9">
        <v>521</v>
      </c>
      <c r="I74" s="8">
        <v>0.94092729206281511</v>
      </c>
      <c r="J74" s="8">
        <v>3.4832314084035337E-2</v>
      </c>
    </row>
    <row r="75" spans="1:10" x14ac:dyDescent="0.2">
      <c r="A75" s="1">
        <v>522</v>
      </c>
      <c r="B75" s="8">
        <v>0.95957803438089839</v>
      </c>
      <c r="C75" s="8">
        <v>3.5206359847941501E-2</v>
      </c>
      <c r="H75" s="9">
        <v>522</v>
      </c>
      <c r="I75" s="8">
        <v>0.95957803438089861</v>
      </c>
      <c r="J75" s="8">
        <v>3.5206359847941515E-2</v>
      </c>
    </row>
    <row r="76" spans="1:10" x14ac:dyDescent="0.2">
      <c r="A76" s="1">
        <v>523</v>
      </c>
      <c r="B76" s="8">
        <v>0.97530132110469581</v>
      </c>
      <c r="C76" s="8">
        <v>3.5557991423841528E-2</v>
      </c>
      <c r="H76" s="9">
        <v>523</v>
      </c>
      <c r="I76" s="8">
        <v>0.9753013211046957</v>
      </c>
      <c r="J76" s="8">
        <v>3.5557991423841528E-2</v>
      </c>
    </row>
    <row r="77" spans="1:10" x14ac:dyDescent="0.2">
      <c r="A77" s="1">
        <v>524</v>
      </c>
      <c r="B77" s="8">
        <v>0.98827582570749828</v>
      </c>
      <c r="C77" s="8">
        <v>3.5905773127474727E-2</v>
      </c>
      <c r="H77" s="9">
        <v>524</v>
      </c>
      <c r="I77" s="8">
        <v>0.98827582570749861</v>
      </c>
      <c r="J77" s="8">
        <v>3.5905773127474741E-2</v>
      </c>
    </row>
    <row r="78" spans="1:10" x14ac:dyDescent="0.2">
      <c r="A78" s="1">
        <v>525</v>
      </c>
      <c r="B78" s="8">
        <v>0.9971976318988609</v>
      </c>
      <c r="C78" s="8">
        <v>3.6203383681049445E-2</v>
      </c>
      <c r="H78" s="9">
        <v>525</v>
      </c>
      <c r="I78" s="8">
        <v>0.99719763189886079</v>
      </c>
      <c r="J78" s="8">
        <v>3.6203383681049459E-2</v>
      </c>
    </row>
    <row r="79" spans="1:10" x14ac:dyDescent="0.2">
      <c r="A79" s="1">
        <v>526</v>
      </c>
      <c r="B79" s="8">
        <v>1</v>
      </c>
      <c r="C79" s="8">
        <v>3.6370825391991705E-2</v>
      </c>
      <c r="H79" s="9">
        <v>526</v>
      </c>
      <c r="I79" s="8">
        <v>1</v>
      </c>
      <c r="J79" s="8">
        <v>3.6370825391991705E-2</v>
      </c>
    </row>
    <row r="80" spans="1:10" x14ac:dyDescent="0.2">
      <c r="A80" s="1">
        <v>527</v>
      </c>
      <c r="B80" s="8">
        <v>0.99842900861775108</v>
      </c>
      <c r="C80" s="8">
        <v>3.6465430989922089E-2</v>
      </c>
      <c r="H80" s="9">
        <v>527</v>
      </c>
      <c r="I80" s="8">
        <v>0.99842900861775075</v>
      </c>
      <c r="J80" s="8">
        <v>3.6465430989922089E-2</v>
      </c>
    </row>
    <row r="81" spans="1:10" x14ac:dyDescent="0.2">
      <c r="A81" s="1">
        <v>528</v>
      </c>
      <c r="B81" s="8">
        <v>0.99232454571583728</v>
      </c>
      <c r="C81" s="8">
        <v>3.6467736969370119E-2</v>
      </c>
      <c r="H81" s="9">
        <v>528</v>
      </c>
      <c r="I81" s="8">
        <v>0.99232454571583695</v>
      </c>
      <c r="J81" s="8">
        <v>3.6467736969370113E-2</v>
      </c>
    </row>
    <row r="82" spans="1:10" x14ac:dyDescent="0.2">
      <c r="A82" s="1">
        <v>529</v>
      </c>
      <c r="B82" s="8">
        <v>0.97975081944873721</v>
      </c>
      <c r="C82" s="8">
        <v>3.6290075919428566E-2</v>
      </c>
      <c r="H82" s="9">
        <v>529</v>
      </c>
      <c r="I82" s="8">
        <v>0.97975081944873743</v>
      </c>
      <c r="J82" s="8">
        <v>3.6290075919428538E-2</v>
      </c>
    </row>
    <row r="83" spans="1:10" x14ac:dyDescent="0.2">
      <c r="A83" s="1">
        <v>530</v>
      </c>
      <c r="B83" s="8">
        <v>0.96305577405183629</v>
      </c>
      <c r="C83" s="8">
        <v>3.600055377621221E-2</v>
      </c>
      <c r="H83" s="9">
        <v>530</v>
      </c>
      <c r="I83" s="8">
        <v>0.96305577405183662</v>
      </c>
      <c r="J83" s="8">
        <v>3.6000553776212196E-2</v>
      </c>
    </row>
    <row r="84" spans="1:10" x14ac:dyDescent="0.2">
      <c r="A84" s="1">
        <v>531</v>
      </c>
      <c r="B84" s="8">
        <v>0.94567841960507515</v>
      </c>
      <c r="C84" s="8">
        <v>3.5706295671127312E-2</v>
      </c>
      <c r="H84" s="9">
        <v>531</v>
      </c>
      <c r="I84" s="8">
        <v>0.94567841960507515</v>
      </c>
      <c r="J84" s="8">
        <v>3.5706295671127319E-2</v>
      </c>
    </row>
    <row r="85" spans="1:10" x14ac:dyDescent="0.2">
      <c r="A85" s="1">
        <v>532</v>
      </c>
      <c r="B85" s="8">
        <v>0.92308471695500594</v>
      </c>
      <c r="C85" s="8">
        <v>3.5225138725597398E-2</v>
      </c>
      <c r="H85" s="9">
        <v>532</v>
      </c>
      <c r="I85" s="8">
        <v>0.92308471695500671</v>
      </c>
      <c r="J85" s="8">
        <v>3.5225138725597405E-2</v>
      </c>
    </row>
    <row r="86" spans="1:10" x14ac:dyDescent="0.2">
      <c r="A86" s="1">
        <v>533</v>
      </c>
      <c r="B86" s="8">
        <v>0.89894754643252284</v>
      </c>
      <c r="C86" s="8">
        <v>3.4676599231631113E-2</v>
      </c>
      <c r="H86" s="9">
        <v>533</v>
      </c>
      <c r="I86" s="8">
        <v>0.89894754643252206</v>
      </c>
      <c r="J86" s="8">
        <v>3.4676599231631078E-2</v>
      </c>
    </row>
    <row r="87" spans="1:10" x14ac:dyDescent="0.2">
      <c r="A87" s="1">
        <v>534</v>
      </c>
      <c r="B87" s="8">
        <v>0.87481270770594566</v>
      </c>
      <c r="C87" s="8">
        <v>3.4106973461160123E-2</v>
      </c>
      <c r="H87" s="9">
        <v>534</v>
      </c>
      <c r="I87" s="8">
        <v>0.87481270770594577</v>
      </c>
      <c r="J87" s="8">
        <v>3.410697346116015E-2</v>
      </c>
    </row>
    <row r="88" spans="1:10" x14ac:dyDescent="0.2">
      <c r="A88" s="1">
        <v>535</v>
      </c>
      <c r="B88" s="8">
        <v>0.85042270750760518</v>
      </c>
      <c r="C88" s="8">
        <v>3.3500257101970896E-2</v>
      </c>
      <c r="H88" s="9">
        <v>535</v>
      </c>
      <c r="I88" s="8">
        <v>0.85042270750760451</v>
      </c>
      <c r="J88" s="8">
        <v>3.3500257101970909E-2</v>
      </c>
    </row>
    <row r="89" spans="1:10" x14ac:dyDescent="0.2">
      <c r="A89" s="1">
        <v>536</v>
      </c>
      <c r="B89" s="8">
        <v>0.82749150107097968</v>
      </c>
      <c r="C89" s="8">
        <v>3.2921667689169945E-2</v>
      </c>
      <c r="H89" s="9">
        <v>536</v>
      </c>
      <c r="I89" s="8">
        <v>0.82749150107098046</v>
      </c>
      <c r="J89" s="8">
        <v>3.2921667689169931E-2</v>
      </c>
    </row>
    <row r="90" spans="1:10" x14ac:dyDescent="0.2">
      <c r="A90" s="1">
        <v>537</v>
      </c>
      <c r="B90" s="8">
        <v>0.80380207071478904</v>
      </c>
      <c r="C90" s="8">
        <v>3.2274852743745953E-2</v>
      </c>
      <c r="H90" s="9">
        <v>537</v>
      </c>
      <c r="I90" s="8">
        <v>0.80380207071478971</v>
      </c>
      <c r="J90" s="8">
        <v>3.2274852743745974E-2</v>
      </c>
    </row>
    <row r="91" spans="1:10" x14ac:dyDescent="0.2">
      <c r="A91" s="1">
        <v>538</v>
      </c>
      <c r="B91" s="8">
        <v>0.78283597504549118</v>
      </c>
      <c r="C91" s="8">
        <v>3.1702273098611365E-2</v>
      </c>
      <c r="H91" s="9">
        <v>538</v>
      </c>
      <c r="I91" s="8">
        <v>0.78283597504549007</v>
      </c>
      <c r="J91" s="8">
        <v>3.17022730986114E-2</v>
      </c>
    </row>
    <row r="92" spans="1:10" x14ac:dyDescent="0.2">
      <c r="A92" s="1">
        <v>539</v>
      </c>
      <c r="B92" s="8">
        <v>0.76392312776044258</v>
      </c>
      <c r="C92" s="8">
        <v>3.1173046502500839E-2</v>
      </c>
      <c r="H92" s="9">
        <v>539</v>
      </c>
      <c r="I92" s="8">
        <v>0.76392312776044236</v>
      </c>
      <c r="J92" s="8">
        <v>3.1173046502500856E-2</v>
      </c>
    </row>
    <row r="93" spans="1:10" x14ac:dyDescent="0.2">
      <c r="A93" s="1">
        <v>540</v>
      </c>
      <c r="B93" s="8">
        <v>0.74702827236581981</v>
      </c>
      <c r="C93" s="8">
        <v>3.0694886760851612E-2</v>
      </c>
      <c r="H93" s="9">
        <v>540</v>
      </c>
      <c r="I93" s="8">
        <v>0.74702827236581992</v>
      </c>
      <c r="J93" s="8">
        <v>3.0694886760851636E-2</v>
      </c>
    </row>
    <row r="94" spans="1:10" x14ac:dyDescent="0.2">
      <c r="A94" s="1">
        <v>541</v>
      </c>
      <c r="B94" s="8">
        <v>0.73452824052815013</v>
      </c>
      <c r="C94" s="8">
        <v>3.0366292112022356E-2</v>
      </c>
      <c r="H94" s="9">
        <v>541</v>
      </c>
      <c r="I94" s="8">
        <v>0.73452824052814947</v>
      </c>
      <c r="J94" s="8">
        <v>3.0366292112022353E-2</v>
      </c>
    </row>
    <row r="95" spans="1:10" x14ac:dyDescent="0.2">
      <c r="A95" s="1">
        <v>542</v>
      </c>
      <c r="B95" s="8">
        <v>0.7219532738846397</v>
      </c>
      <c r="C95" s="8">
        <v>3.0012583617057997E-2</v>
      </c>
      <c r="H95" s="9">
        <v>542</v>
      </c>
      <c r="I95" s="8">
        <v>0.72195327388464037</v>
      </c>
      <c r="J95" s="8">
        <v>3.0012583617057997E-2</v>
      </c>
    </row>
    <row r="96" spans="1:10" x14ac:dyDescent="0.2">
      <c r="A96" s="1">
        <v>543</v>
      </c>
      <c r="B96" s="8">
        <v>0.7115711686791627</v>
      </c>
      <c r="C96" s="8">
        <v>2.9724520603140302E-2</v>
      </c>
      <c r="H96" s="9">
        <v>543</v>
      </c>
      <c r="I96" s="8">
        <v>0.71157116867916237</v>
      </c>
      <c r="J96" s="8">
        <v>2.9724520603140292E-2</v>
      </c>
    </row>
    <row r="97" spans="1:10" x14ac:dyDescent="0.2">
      <c r="A97" s="1">
        <v>544</v>
      </c>
      <c r="B97" s="8">
        <v>0.70359283045768262</v>
      </c>
      <c r="C97" s="8">
        <v>2.9516672998803124E-2</v>
      </c>
      <c r="H97" s="9">
        <v>544</v>
      </c>
      <c r="I97" s="8">
        <v>0.70359283045768262</v>
      </c>
      <c r="J97" s="8">
        <v>2.9516672998803131E-2</v>
      </c>
    </row>
    <row r="98" spans="1:10" x14ac:dyDescent="0.2">
      <c r="A98" s="1">
        <v>545</v>
      </c>
      <c r="B98" s="8">
        <v>0.69682376235324361</v>
      </c>
      <c r="C98" s="8">
        <v>2.9344846325719119E-2</v>
      </c>
      <c r="H98" s="9">
        <v>545</v>
      </c>
      <c r="I98" s="8">
        <v>0.69682376235324339</v>
      </c>
      <c r="J98" s="8">
        <v>2.9344846325719112E-2</v>
      </c>
    </row>
    <row r="99" spans="1:10" x14ac:dyDescent="0.2">
      <c r="A99" s="1">
        <v>546</v>
      </c>
      <c r="B99" s="8">
        <v>0.6914886967866346</v>
      </c>
      <c r="C99" s="8">
        <v>2.923187780584189E-2</v>
      </c>
      <c r="H99" s="9">
        <v>546</v>
      </c>
      <c r="I99" s="8">
        <v>0.69148869678663427</v>
      </c>
      <c r="J99" s="8">
        <v>2.9231877805841897E-2</v>
      </c>
    </row>
    <row r="100" spans="1:10" x14ac:dyDescent="0.2">
      <c r="A100" s="1">
        <v>547</v>
      </c>
      <c r="B100" s="8">
        <v>0.68517791134413641</v>
      </c>
      <c r="C100" s="8">
        <v>2.9063275033569914E-2</v>
      </c>
      <c r="H100" s="9">
        <v>547</v>
      </c>
      <c r="I100" s="8">
        <v>0.68517791134413608</v>
      </c>
      <c r="J100" s="8">
        <v>2.9063275033569924E-2</v>
      </c>
    </row>
    <row r="101" spans="1:10" x14ac:dyDescent="0.2">
      <c r="A101" s="1">
        <v>548</v>
      </c>
      <c r="B101" s="8">
        <v>0.67929979368211968</v>
      </c>
      <c r="C101" s="8">
        <v>2.8916270727343769E-2</v>
      </c>
      <c r="H101" s="9">
        <v>548</v>
      </c>
      <c r="I101" s="8">
        <v>0.67929979368211946</v>
      </c>
      <c r="J101" s="8">
        <v>2.8916270727343762E-2</v>
      </c>
    </row>
    <row r="102" spans="1:10" x14ac:dyDescent="0.2">
      <c r="A102" s="1">
        <v>549</v>
      </c>
      <c r="B102" s="8">
        <v>0.67193702997059512</v>
      </c>
      <c r="C102" s="8">
        <v>2.8703643372862152E-2</v>
      </c>
      <c r="H102" s="9">
        <v>549</v>
      </c>
      <c r="I102" s="8">
        <v>0.67193702997059557</v>
      </c>
      <c r="J102" s="8">
        <v>2.8703643372862186E-2</v>
      </c>
    </row>
    <row r="103" spans="1:10" x14ac:dyDescent="0.2">
      <c r="A103" s="1">
        <v>550</v>
      </c>
      <c r="B103" s="8">
        <v>0.6636325336350879</v>
      </c>
      <c r="C103" s="8">
        <v>2.8456919389239728E-2</v>
      </c>
      <c r="H103" s="9">
        <v>550</v>
      </c>
      <c r="I103" s="8">
        <v>0.66363253363508701</v>
      </c>
      <c r="J103" s="8">
        <v>2.8456919389239721E-2</v>
      </c>
    </row>
    <row r="104" spans="1:10" x14ac:dyDescent="0.2">
      <c r="A104" s="1">
        <v>551</v>
      </c>
      <c r="B104" s="8">
        <v>0.65359545568799227</v>
      </c>
      <c r="C104" s="8">
        <v>2.8141819182390605E-2</v>
      </c>
      <c r="H104" s="9">
        <v>551</v>
      </c>
      <c r="I104" s="8">
        <v>0.65359545568799238</v>
      </c>
      <c r="J104" s="8">
        <v>2.8141819182390615E-2</v>
      </c>
    </row>
    <row r="105" spans="1:10" x14ac:dyDescent="0.2">
      <c r="A105" s="1">
        <v>552</v>
      </c>
      <c r="B105" s="8">
        <v>0.64169891971915627</v>
      </c>
      <c r="C105" s="8">
        <v>2.7764693896470263E-2</v>
      </c>
      <c r="H105" s="9">
        <v>552</v>
      </c>
      <c r="I105" s="8">
        <v>0.64169891971915671</v>
      </c>
      <c r="J105" s="8">
        <v>2.7764693896470294E-2</v>
      </c>
    </row>
    <row r="106" spans="1:10" x14ac:dyDescent="0.2">
      <c r="A106" s="1">
        <v>553</v>
      </c>
      <c r="B106" s="8">
        <v>0.62873046886977491</v>
      </c>
      <c r="C106" s="8">
        <v>2.7347641431200592E-2</v>
      </c>
      <c r="H106" s="9">
        <v>553</v>
      </c>
      <c r="I106" s="8">
        <v>0.6287304688697759</v>
      </c>
      <c r="J106" s="8">
        <v>2.7347641431200609E-2</v>
      </c>
    </row>
    <row r="107" spans="1:10" x14ac:dyDescent="0.2">
      <c r="A107" s="1">
        <v>554</v>
      </c>
      <c r="B107" s="8">
        <v>0.61356414429654127</v>
      </c>
      <c r="C107" s="8">
        <v>2.68521347355926E-2</v>
      </c>
      <c r="H107" s="9">
        <v>554</v>
      </c>
      <c r="I107" s="8">
        <v>0.61356414429654293</v>
      </c>
      <c r="J107" s="8">
        <v>2.6852134735592559E-2</v>
      </c>
    </row>
    <row r="108" spans="1:10" x14ac:dyDescent="0.2">
      <c r="A108" s="1">
        <v>555</v>
      </c>
      <c r="B108" s="8">
        <v>0.59546455255756647</v>
      </c>
      <c r="C108" s="8">
        <v>2.6249984970464595E-2</v>
      </c>
      <c r="H108" s="9">
        <v>555</v>
      </c>
      <c r="I108" s="8">
        <v>0.5954645525575657</v>
      </c>
      <c r="J108" s="8">
        <v>2.6249984970464602E-2</v>
      </c>
    </row>
    <row r="109" spans="1:10" x14ac:dyDescent="0.2">
      <c r="A109" s="1">
        <v>556</v>
      </c>
      <c r="B109" s="8">
        <v>0.57696449737491873</v>
      </c>
      <c r="C109" s="8">
        <v>2.5628719060760558E-2</v>
      </c>
      <c r="H109" s="9">
        <v>556</v>
      </c>
      <c r="I109" s="8">
        <v>0.57696449737491839</v>
      </c>
      <c r="J109" s="8">
        <v>2.5628719060760585E-2</v>
      </c>
    </row>
    <row r="110" spans="1:10" x14ac:dyDescent="0.2">
      <c r="A110" s="1">
        <v>557</v>
      </c>
      <c r="B110" s="8">
        <v>0.55593733173361792</v>
      </c>
      <c r="C110" s="8">
        <v>2.4922104608698956E-2</v>
      </c>
      <c r="H110" s="9">
        <v>557</v>
      </c>
      <c r="I110" s="8">
        <v>0.55593733173361848</v>
      </c>
      <c r="J110" s="8">
        <v>2.4922104608698981E-2</v>
      </c>
    </row>
    <row r="111" spans="1:10" x14ac:dyDescent="0.2">
      <c r="A111" s="1">
        <v>558</v>
      </c>
      <c r="B111" s="8">
        <v>0.53447097676094091</v>
      </c>
      <c r="C111" s="8">
        <v>2.4205250270480084E-2</v>
      </c>
      <c r="H111" s="9">
        <v>558</v>
      </c>
      <c r="I111" s="8">
        <v>0.53447097676094124</v>
      </c>
      <c r="J111" s="8">
        <v>2.4205250270480094E-2</v>
      </c>
    </row>
    <row r="112" spans="1:10" x14ac:dyDescent="0.2">
      <c r="A112" s="1">
        <v>559</v>
      </c>
      <c r="B112" s="8">
        <v>0.51382911126133157</v>
      </c>
      <c r="C112" s="8">
        <v>2.3529569632736502E-2</v>
      </c>
      <c r="H112" s="9">
        <v>559</v>
      </c>
      <c r="I112" s="8">
        <v>0.51382911126133202</v>
      </c>
      <c r="J112" s="8">
        <v>2.3529569632736502E-2</v>
      </c>
    </row>
    <row r="113" spans="1:10" x14ac:dyDescent="0.2">
      <c r="A113" s="1">
        <v>560</v>
      </c>
      <c r="B113" s="8">
        <v>0.49432567063093757</v>
      </c>
      <c r="C113" s="8">
        <v>2.2918212063923891E-2</v>
      </c>
      <c r="H113" s="9">
        <v>560</v>
      </c>
      <c r="I113" s="8">
        <v>0.49432567063093913</v>
      </c>
      <c r="J113" s="8">
        <v>2.2918212063923915E-2</v>
      </c>
    </row>
    <row r="114" spans="1:10" x14ac:dyDescent="0.2">
      <c r="A114" s="1">
        <v>561</v>
      </c>
      <c r="B114" s="8">
        <v>0.4734515626496541</v>
      </c>
      <c r="C114" s="8">
        <v>2.2248932905757524E-2</v>
      </c>
      <c r="H114" s="9">
        <v>561</v>
      </c>
      <c r="I114" s="8">
        <v>0.47345156264965382</v>
      </c>
      <c r="J114" s="8">
        <v>2.2248932905757524E-2</v>
      </c>
    </row>
    <row r="115" spans="1:10" x14ac:dyDescent="0.2">
      <c r="A115" s="1">
        <v>562</v>
      </c>
      <c r="B115" s="8">
        <v>0.4535270917777609</v>
      </c>
      <c r="C115" s="8">
        <v>2.1621719427161415E-2</v>
      </c>
      <c r="H115" s="9">
        <v>562</v>
      </c>
      <c r="I115" s="8">
        <v>0.45352709177776163</v>
      </c>
      <c r="J115" s="8">
        <v>2.1621719427161401E-2</v>
      </c>
    </row>
    <row r="116" spans="1:10" x14ac:dyDescent="0.2">
      <c r="A116" s="1">
        <v>563</v>
      </c>
      <c r="B116" s="8">
        <v>0.43451525027895666</v>
      </c>
      <c r="C116" s="8">
        <v>2.1041569969698495E-2</v>
      </c>
      <c r="H116" s="9">
        <v>563</v>
      </c>
      <c r="I116" s="8">
        <v>0.43451525027895777</v>
      </c>
      <c r="J116" s="8">
        <v>2.104156996969847E-2</v>
      </c>
    </row>
    <row r="117" spans="1:10" x14ac:dyDescent="0.2">
      <c r="A117" s="1">
        <v>564</v>
      </c>
      <c r="B117" s="8">
        <v>0.41622580861577924</v>
      </c>
      <c r="C117" s="8">
        <v>2.0490771913459011E-2</v>
      </c>
      <c r="H117" s="9">
        <v>564</v>
      </c>
      <c r="I117" s="8">
        <v>0.41622580861577774</v>
      </c>
      <c r="J117" s="8">
        <v>2.0490771913459049E-2</v>
      </c>
    </row>
    <row r="118" spans="1:10" x14ac:dyDescent="0.2">
      <c r="A118" s="1">
        <v>565</v>
      </c>
      <c r="B118" s="8">
        <v>0.39854114383327294</v>
      </c>
      <c r="C118" s="8">
        <v>1.9964176972572814E-2</v>
      </c>
      <c r="H118" s="9">
        <v>565</v>
      </c>
      <c r="I118" s="8">
        <v>0.39854114383327222</v>
      </c>
      <c r="J118" s="8">
        <v>1.9964176972572828E-2</v>
      </c>
    </row>
    <row r="119" spans="1:10" x14ac:dyDescent="0.2">
      <c r="A119" s="1">
        <v>566</v>
      </c>
      <c r="B119" s="8">
        <v>0.38390894681401361</v>
      </c>
      <c r="C119" s="8">
        <v>1.958048001630408E-2</v>
      </c>
      <c r="H119" s="9">
        <v>566</v>
      </c>
      <c r="I119" s="8">
        <v>0.38390894681401377</v>
      </c>
      <c r="J119" s="8">
        <v>1.958048001630408E-2</v>
      </c>
    </row>
    <row r="120" spans="1:10" x14ac:dyDescent="0.2">
      <c r="A120" s="1">
        <v>567</v>
      </c>
      <c r="B120" s="8">
        <v>0.37020712719950333</v>
      </c>
      <c r="C120" s="8">
        <v>1.9236848124309373E-2</v>
      </c>
      <c r="H120" s="9">
        <v>567</v>
      </c>
      <c r="I120" s="8">
        <v>0.37020712719950311</v>
      </c>
      <c r="J120" s="8">
        <v>1.9236848124309369E-2</v>
      </c>
    </row>
    <row r="121" spans="1:10" x14ac:dyDescent="0.2">
      <c r="A121" s="1">
        <v>568</v>
      </c>
      <c r="B121" s="8">
        <v>0.35849504215072275</v>
      </c>
      <c r="C121" s="8">
        <v>1.8980590756689786E-2</v>
      </c>
      <c r="H121" s="9">
        <v>568</v>
      </c>
      <c r="I121" s="8">
        <v>0.35849504215072336</v>
      </c>
      <c r="J121" s="8">
        <v>1.8980590756689786E-2</v>
      </c>
    </row>
    <row r="122" spans="1:10" x14ac:dyDescent="0.2">
      <c r="A122" s="1">
        <v>569</v>
      </c>
      <c r="B122" s="8">
        <v>0.34780203698854917</v>
      </c>
      <c r="C122" s="8">
        <v>1.8770490714507163E-2</v>
      </c>
      <c r="H122" s="9">
        <v>569</v>
      </c>
      <c r="I122" s="8">
        <v>0.34780203698854883</v>
      </c>
      <c r="J122" s="8">
        <v>1.8770490714507176E-2</v>
      </c>
    </row>
    <row r="123" spans="1:10" x14ac:dyDescent="0.2">
      <c r="A123" s="1">
        <v>570</v>
      </c>
      <c r="B123" s="8">
        <v>0.33734680128622624</v>
      </c>
      <c r="C123" s="8">
        <v>1.8554904264841982E-2</v>
      </c>
      <c r="H123" s="9">
        <v>570</v>
      </c>
      <c r="I123" s="8">
        <v>0.33734680128622685</v>
      </c>
      <c r="J123" s="8">
        <v>1.8554904264841979E-2</v>
      </c>
    </row>
    <row r="124" spans="1:10" x14ac:dyDescent="0.2">
      <c r="A124" s="1">
        <v>571</v>
      </c>
      <c r="B124" s="8">
        <v>0.3282387482206226</v>
      </c>
      <c r="C124" s="8">
        <v>1.8397427670101312E-2</v>
      </c>
      <c r="H124" s="9">
        <v>571</v>
      </c>
      <c r="I124" s="8">
        <v>0.32823874822062216</v>
      </c>
      <c r="J124" s="8">
        <v>1.8397427670101302E-2</v>
      </c>
    </row>
    <row r="125" spans="1:10" x14ac:dyDescent="0.2">
      <c r="A125" s="1">
        <v>572</v>
      </c>
      <c r="B125" s="8">
        <v>0.31954183441245548</v>
      </c>
      <c r="C125" s="8">
        <v>1.8238166935028086E-2</v>
      </c>
      <c r="H125" s="9">
        <v>572</v>
      </c>
      <c r="I125" s="8">
        <v>0.31954183441245565</v>
      </c>
      <c r="J125" s="8">
        <v>1.8238166935028097E-2</v>
      </c>
    </row>
    <row r="126" spans="1:10" x14ac:dyDescent="0.2">
      <c r="A126" s="1">
        <v>573</v>
      </c>
      <c r="B126" s="8">
        <v>0.31147270239715452</v>
      </c>
      <c r="C126" s="8">
        <v>1.8091179104435237E-2</v>
      </c>
      <c r="H126" s="9">
        <v>573</v>
      </c>
      <c r="I126" s="8">
        <v>0.31147270239715397</v>
      </c>
      <c r="J126" s="8">
        <v>1.8091179104435223E-2</v>
      </c>
    </row>
    <row r="127" spans="1:10" x14ac:dyDescent="0.2">
      <c r="A127" s="1">
        <v>574</v>
      </c>
      <c r="B127" s="8">
        <v>0.30347519300824921</v>
      </c>
      <c r="C127" s="8">
        <v>1.7925546058601669E-2</v>
      </c>
      <c r="H127" s="9">
        <v>574</v>
      </c>
      <c r="I127" s="8">
        <v>0.3034751930082491</v>
      </c>
      <c r="J127" s="8">
        <v>1.7925546058601666E-2</v>
      </c>
    </row>
    <row r="128" spans="1:10" x14ac:dyDescent="0.2">
      <c r="A128" s="1">
        <v>575</v>
      </c>
      <c r="B128" s="8">
        <v>0.29604233670152491</v>
      </c>
      <c r="C128" s="8">
        <v>1.7759024555898575E-2</v>
      </c>
      <c r="H128" s="9">
        <v>575</v>
      </c>
      <c r="I128" s="8">
        <v>0.29604233670152524</v>
      </c>
      <c r="J128" s="8">
        <v>1.7759024555898589E-2</v>
      </c>
    </row>
    <row r="129" spans="1:10" x14ac:dyDescent="0.2">
      <c r="A129" s="1">
        <v>576</v>
      </c>
      <c r="B129" s="8">
        <v>0.28815101024218043</v>
      </c>
      <c r="C129" s="8">
        <v>1.7538969880681175E-2</v>
      </c>
      <c r="H129" s="9">
        <v>576</v>
      </c>
      <c r="I129" s="8">
        <v>0.28815101024218048</v>
      </c>
      <c r="J129" s="8">
        <v>1.7538969880681182E-2</v>
      </c>
    </row>
    <row r="130" spans="1:10" x14ac:dyDescent="0.2">
      <c r="A130" s="1">
        <v>577</v>
      </c>
      <c r="B130" s="8">
        <v>0.27977638796088533</v>
      </c>
      <c r="C130" s="8">
        <v>1.7253963095758516E-2</v>
      </c>
      <c r="H130" s="9">
        <v>577</v>
      </c>
      <c r="I130" s="8">
        <v>0.27977638796088478</v>
      </c>
      <c r="J130" s="8">
        <v>1.7253963095758496E-2</v>
      </c>
    </row>
    <row r="131" spans="1:10" x14ac:dyDescent="0.2">
      <c r="A131" s="1">
        <v>578</v>
      </c>
      <c r="B131" s="8">
        <v>0.2712356255444846</v>
      </c>
      <c r="C131" s="8">
        <v>1.6923669992954669E-2</v>
      </c>
      <c r="H131" s="9">
        <v>578</v>
      </c>
      <c r="I131" s="8">
        <v>0.27123562554448455</v>
      </c>
      <c r="J131" s="8">
        <v>1.6923669992954665E-2</v>
      </c>
    </row>
    <row r="132" spans="1:10" x14ac:dyDescent="0.2">
      <c r="A132" s="1">
        <v>579</v>
      </c>
      <c r="B132" s="8">
        <v>0.26249658067607889</v>
      </c>
      <c r="C132" s="8">
        <v>1.654938493972714E-2</v>
      </c>
      <c r="H132" s="9">
        <v>579</v>
      </c>
      <c r="I132" s="8">
        <v>0.26249658067607928</v>
      </c>
      <c r="J132" s="8">
        <v>1.654938493972713E-2</v>
      </c>
    </row>
    <row r="133" spans="1:10" x14ac:dyDescent="0.2">
      <c r="A133" s="1">
        <v>580</v>
      </c>
      <c r="B133" s="8">
        <v>0.25360340426222677</v>
      </c>
      <c r="C133" s="8">
        <v>1.6127734091452326E-2</v>
      </c>
      <c r="H133" s="9">
        <v>580</v>
      </c>
      <c r="I133" s="8">
        <v>0.25360340426222638</v>
      </c>
      <c r="J133" s="8">
        <v>1.6127734091452295E-2</v>
      </c>
    </row>
    <row r="134" spans="1:10" x14ac:dyDescent="0.2">
      <c r="A134" s="1">
        <v>581</v>
      </c>
      <c r="B134" s="8">
        <v>0.24375059585864323</v>
      </c>
      <c r="C134" s="8">
        <v>1.5611693988898662E-2</v>
      </c>
      <c r="H134" s="9">
        <v>581</v>
      </c>
      <c r="I134" s="8">
        <v>0.24375059585864278</v>
      </c>
      <c r="J134" s="8">
        <v>1.5611693988898723E-2</v>
      </c>
    </row>
    <row r="135" spans="1:10" x14ac:dyDescent="0.2">
      <c r="A135" s="1">
        <v>582</v>
      </c>
      <c r="B135" s="8">
        <v>0.23483971428709477</v>
      </c>
      <c r="C135" s="8">
        <v>1.5123725484354169E-2</v>
      </c>
      <c r="H135" s="9">
        <v>582</v>
      </c>
      <c r="I135" s="8">
        <v>0.23483971428709527</v>
      </c>
      <c r="J135" s="8">
        <v>1.5123725484354145E-2</v>
      </c>
    </row>
    <row r="136" spans="1:10" x14ac:dyDescent="0.2">
      <c r="A136" s="1">
        <v>583</v>
      </c>
      <c r="B136" s="8">
        <v>0.2256642905582058</v>
      </c>
      <c r="C136" s="8">
        <v>1.4591256842990986E-2</v>
      </c>
      <c r="H136" s="9">
        <v>583</v>
      </c>
      <c r="I136" s="8">
        <v>0.22566429055820603</v>
      </c>
      <c r="J136" s="8">
        <v>1.4591256842990952E-2</v>
      </c>
    </row>
    <row r="137" spans="1:10" x14ac:dyDescent="0.2">
      <c r="A137" s="1">
        <v>584</v>
      </c>
      <c r="B137" s="8">
        <v>0.21681834716105078</v>
      </c>
      <c r="C137" s="8">
        <v>1.4048056079013774E-2</v>
      </c>
      <c r="H137" s="9">
        <v>584</v>
      </c>
      <c r="I137" s="8">
        <v>0.21681834716105186</v>
      </c>
      <c r="J137" s="8">
        <v>1.4048056079013771E-2</v>
      </c>
    </row>
    <row r="138" spans="1:10" x14ac:dyDescent="0.2">
      <c r="A138" s="1">
        <v>585</v>
      </c>
      <c r="B138" s="8">
        <v>0.20784933108750578</v>
      </c>
      <c r="C138" s="8">
        <v>1.3480064177729284E-2</v>
      </c>
      <c r="H138" s="9">
        <v>585</v>
      </c>
      <c r="I138" s="8">
        <v>0.20784933108750625</v>
      </c>
      <c r="J138" s="8">
        <v>1.348006417772929E-2</v>
      </c>
    </row>
    <row r="139" spans="1:10" x14ac:dyDescent="0.2">
      <c r="A139" s="1">
        <v>586</v>
      </c>
      <c r="B139" s="8">
        <v>0.19892391675871812</v>
      </c>
      <c r="C139" s="8">
        <v>1.2889496320626928E-2</v>
      </c>
      <c r="H139" s="9">
        <v>586</v>
      </c>
      <c r="I139" s="8">
        <v>0.19892391675871757</v>
      </c>
      <c r="J139" s="8">
        <v>1.2889496320626914E-2</v>
      </c>
    </row>
    <row r="140" spans="1:10" x14ac:dyDescent="0.2">
      <c r="A140" s="1">
        <v>587</v>
      </c>
      <c r="B140" s="8">
        <v>0.19054711475400851</v>
      </c>
      <c r="C140" s="8">
        <v>1.2320237430377216E-2</v>
      </c>
      <c r="H140" s="9">
        <v>587</v>
      </c>
      <c r="I140" s="8">
        <v>0.19054711475400854</v>
      </c>
      <c r="J140" s="8">
        <v>1.232023743037719E-2</v>
      </c>
    </row>
    <row r="141" spans="1:10" x14ac:dyDescent="0.2">
      <c r="A141" s="1">
        <v>588</v>
      </c>
      <c r="B141" s="8">
        <v>0.18229706542919577</v>
      </c>
      <c r="C141" s="8">
        <v>1.1744942396327463E-2</v>
      </c>
      <c r="H141" s="9">
        <v>588</v>
      </c>
      <c r="I141" s="8">
        <v>0.18229706542919555</v>
      </c>
      <c r="J141" s="8">
        <v>1.1744942396327507E-2</v>
      </c>
    </row>
    <row r="142" spans="1:10" x14ac:dyDescent="0.2">
      <c r="A142" s="1">
        <v>589</v>
      </c>
      <c r="B142" s="8">
        <v>0.17461144369131629</v>
      </c>
      <c r="C142" s="8">
        <v>1.1196821824887812E-2</v>
      </c>
      <c r="H142" s="9">
        <v>589</v>
      </c>
      <c r="I142" s="8">
        <v>0.17461144369131709</v>
      </c>
      <c r="J142" s="8">
        <v>1.1196821824887793E-2</v>
      </c>
    </row>
    <row r="143" spans="1:10" x14ac:dyDescent="0.2">
      <c r="A143" s="1">
        <v>590</v>
      </c>
      <c r="B143" s="8">
        <v>0.1672737284100787</v>
      </c>
      <c r="C143" s="8">
        <v>1.0664563382889253E-2</v>
      </c>
      <c r="H143" s="9">
        <v>590</v>
      </c>
      <c r="I143" s="8">
        <v>0.16727372841007959</v>
      </c>
      <c r="J143" s="8">
        <v>1.0664563382889292E-2</v>
      </c>
    </row>
    <row r="144" spans="1:10" x14ac:dyDescent="0.2">
      <c r="A144" s="1">
        <v>591</v>
      </c>
      <c r="B144" s="8">
        <v>0.1598686460097957</v>
      </c>
      <c r="C144" s="8">
        <v>1.0127194409858209E-2</v>
      </c>
      <c r="H144" s="9">
        <v>591</v>
      </c>
      <c r="I144" s="8">
        <v>0.15986864600979622</v>
      </c>
      <c r="J144" s="8">
        <v>1.0127194409858209E-2</v>
      </c>
    </row>
    <row r="145" spans="1:10" x14ac:dyDescent="0.2">
      <c r="A145" s="1">
        <v>592</v>
      </c>
      <c r="B145" s="8">
        <v>0.15321022949164456</v>
      </c>
      <c r="C145" s="8">
        <v>9.6343491023198856E-3</v>
      </c>
      <c r="H145" s="9">
        <v>592</v>
      </c>
      <c r="I145" s="8">
        <v>0.15321022949164487</v>
      </c>
      <c r="J145" s="8">
        <v>9.6343491023199168E-3</v>
      </c>
    </row>
    <row r="146" spans="1:10" x14ac:dyDescent="0.2">
      <c r="A146" s="1">
        <v>593</v>
      </c>
      <c r="B146" s="8">
        <v>0.14725936616902394</v>
      </c>
      <c r="C146" s="8">
        <v>9.1876429660715051E-3</v>
      </c>
      <c r="H146" s="9">
        <v>593</v>
      </c>
      <c r="I146" s="8">
        <v>0.14725936616902402</v>
      </c>
      <c r="J146" s="8">
        <v>9.187642966071552E-3</v>
      </c>
    </row>
    <row r="147" spans="1:10" x14ac:dyDescent="0.2">
      <c r="A147" s="1">
        <v>594</v>
      </c>
      <c r="B147" s="8">
        <v>0.14129865198343508</v>
      </c>
      <c r="C147" s="8">
        <v>8.7454105722149095E-3</v>
      </c>
      <c r="H147" s="9">
        <v>594</v>
      </c>
      <c r="I147" s="8">
        <v>0.14129865198343516</v>
      </c>
      <c r="J147" s="8">
        <v>8.7454105722148956E-3</v>
      </c>
    </row>
    <row r="148" spans="1:10" x14ac:dyDescent="0.2">
      <c r="A148" s="1">
        <v>595</v>
      </c>
      <c r="B148" s="8">
        <v>0.13569157841896043</v>
      </c>
      <c r="C148" s="8">
        <v>8.3300394593326874E-3</v>
      </c>
      <c r="H148" s="9">
        <v>595</v>
      </c>
      <c r="I148" s="8">
        <v>0.13569157841896029</v>
      </c>
      <c r="J148" s="8">
        <v>8.3300394593326943E-3</v>
      </c>
    </row>
    <row r="149" spans="1:10" x14ac:dyDescent="0.2">
      <c r="A149" s="1">
        <v>596</v>
      </c>
      <c r="B149" s="8">
        <v>0.13052965273188641</v>
      </c>
      <c r="C149" s="8">
        <v>7.9499894384273476E-3</v>
      </c>
      <c r="H149" s="9">
        <v>596</v>
      </c>
      <c r="I149" s="8">
        <v>0.13052965273188644</v>
      </c>
      <c r="J149" s="8">
        <v>7.9499894384273406E-3</v>
      </c>
    </row>
    <row r="150" spans="1:10" x14ac:dyDescent="0.2">
      <c r="A150" s="1">
        <v>597</v>
      </c>
      <c r="B150" s="8">
        <v>0.12589759065573297</v>
      </c>
      <c r="C150" s="8">
        <v>7.6100949699948166E-3</v>
      </c>
      <c r="H150" s="9">
        <v>597</v>
      </c>
      <c r="I150" s="8">
        <v>0.12589759065573292</v>
      </c>
      <c r="J150" s="8">
        <v>7.6100949699948184E-3</v>
      </c>
    </row>
    <row r="151" spans="1:10" x14ac:dyDescent="0.2">
      <c r="A151" s="1">
        <v>598</v>
      </c>
      <c r="B151" s="8">
        <v>0.1217387868827091</v>
      </c>
      <c r="C151" s="8">
        <v>7.3072648506502004E-3</v>
      </c>
      <c r="H151" s="9">
        <v>598</v>
      </c>
      <c r="I151" s="8">
        <v>0.12173878688270889</v>
      </c>
      <c r="J151" s="8">
        <v>7.3072648506501969E-3</v>
      </c>
    </row>
    <row r="152" spans="1:10" x14ac:dyDescent="0.2">
      <c r="A152" s="1">
        <v>599</v>
      </c>
      <c r="B152" s="8">
        <v>0.11754995196885393</v>
      </c>
      <c r="C152" s="8">
        <v>7.0129875661361996E-3</v>
      </c>
      <c r="H152" s="9">
        <v>599</v>
      </c>
      <c r="I152" s="8">
        <v>0.11754995196885387</v>
      </c>
      <c r="J152" s="8">
        <v>7.0129875661362195E-3</v>
      </c>
    </row>
    <row r="153" spans="1:10" x14ac:dyDescent="0.2">
      <c r="A153" s="1">
        <v>600</v>
      </c>
      <c r="B153" s="8">
        <v>0.11371862762895166</v>
      </c>
      <c r="C153" s="8">
        <v>6.7497946086392769E-3</v>
      </c>
      <c r="H153" s="9">
        <v>600</v>
      </c>
      <c r="I153" s="8">
        <v>0.11371862762895146</v>
      </c>
      <c r="J153" s="8">
        <v>6.7497946086392813E-3</v>
      </c>
    </row>
    <row r="154" spans="1:10" x14ac:dyDescent="0.2">
      <c r="A154" s="1">
        <v>601</v>
      </c>
      <c r="B154" s="8">
        <v>0.11000215717657781</v>
      </c>
      <c r="C154" s="8">
        <v>6.5032572508119451E-3</v>
      </c>
      <c r="H154" s="9">
        <v>601</v>
      </c>
      <c r="I154" s="8">
        <v>0.11000215717657769</v>
      </c>
      <c r="J154" s="8">
        <v>6.5032572508119391E-3</v>
      </c>
    </row>
    <row r="155" spans="1:10" x14ac:dyDescent="0.2">
      <c r="A155" s="1">
        <v>602</v>
      </c>
      <c r="B155" s="8">
        <v>0.10629685926534635</v>
      </c>
      <c r="C155" s="8">
        <v>6.2680932721831005E-3</v>
      </c>
      <c r="H155" s="9">
        <v>602</v>
      </c>
      <c r="I155" s="8">
        <v>0.10629685926534638</v>
      </c>
      <c r="J155" s="8">
        <v>6.2680932721830979E-3</v>
      </c>
    </row>
    <row r="156" spans="1:10" x14ac:dyDescent="0.2">
      <c r="A156" s="1">
        <v>603</v>
      </c>
      <c r="B156" s="8">
        <v>0.10295761726738581</v>
      </c>
      <c r="C156" s="8">
        <v>6.0641110256357787E-3</v>
      </c>
      <c r="H156" s="9">
        <v>603</v>
      </c>
      <c r="I156" s="8">
        <v>0.10295761726738561</v>
      </c>
      <c r="J156" s="8">
        <v>6.0641110256357822E-3</v>
      </c>
    </row>
    <row r="157" spans="1:10" x14ac:dyDescent="0.2">
      <c r="A157" s="1">
        <v>604</v>
      </c>
      <c r="B157" s="8">
        <v>9.9780875491576201E-2</v>
      </c>
      <c r="C157" s="8">
        <v>5.8785891327031237E-3</v>
      </c>
      <c r="H157" s="9">
        <v>604</v>
      </c>
      <c r="I157" s="8">
        <v>9.9780875491576104E-2</v>
      </c>
      <c r="J157" s="8">
        <v>5.8785891327031159E-3</v>
      </c>
    </row>
    <row r="158" spans="1:10" x14ac:dyDescent="0.2">
      <c r="A158" s="1">
        <v>605</v>
      </c>
      <c r="B158" s="8">
        <v>9.6323689088427977E-2</v>
      </c>
      <c r="C158" s="8">
        <v>5.6865721414828532E-3</v>
      </c>
      <c r="H158" s="9">
        <v>605</v>
      </c>
      <c r="I158" s="8">
        <v>9.6323689088428033E-2</v>
      </c>
      <c r="J158" s="8">
        <v>5.6865721414828541E-3</v>
      </c>
    </row>
    <row r="159" spans="1:10" x14ac:dyDescent="0.2">
      <c r="A159" s="1">
        <v>606</v>
      </c>
      <c r="B159" s="8">
        <v>9.3396939539941853E-2</v>
      </c>
      <c r="C159" s="8">
        <v>5.5349637034359982E-3</v>
      </c>
      <c r="H159" s="9">
        <v>606</v>
      </c>
      <c r="I159" s="8">
        <v>9.3396939539941881E-2</v>
      </c>
      <c r="J159" s="8">
        <v>5.5349637034359939E-3</v>
      </c>
    </row>
    <row r="160" spans="1:10" x14ac:dyDescent="0.2">
      <c r="A160" s="1">
        <v>607</v>
      </c>
      <c r="B160" s="8">
        <v>9.0409351346753764E-2</v>
      </c>
      <c r="C160" s="8">
        <v>5.3861969142178692E-3</v>
      </c>
      <c r="H160" s="9">
        <v>607</v>
      </c>
      <c r="I160" s="8">
        <v>9.0409351346753875E-2</v>
      </c>
      <c r="J160" s="8">
        <v>5.386196914217864E-3</v>
      </c>
    </row>
    <row r="161" spans="1:10" x14ac:dyDescent="0.2">
      <c r="A161" s="1">
        <v>608</v>
      </c>
      <c r="B161" s="8">
        <v>8.7213888189558456E-2</v>
      </c>
      <c r="C161" s="8">
        <v>5.2324612211096157E-3</v>
      </c>
      <c r="H161" s="9">
        <v>608</v>
      </c>
      <c r="I161" s="8">
        <v>8.7213888189558553E-2</v>
      </c>
      <c r="J161" s="8">
        <v>5.2324612211096105E-3</v>
      </c>
    </row>
    <row r="162" spans="1:10" x14ac:dyDescent="0.2">
      <c r="A162" s="1">
        <v>609</v>
      </c>
      <c r="B162" s="8">
        <v>8.4098990588808722E-2</v>
      </c>
      <c r="C162" s="8">
        <v>5.0889011549165751E-3</v>
      </c>
      <c r="H162" s="9">
        <v>609</v>
      </c>
      <c r="I162" s="8">
        <v>8.4098990588808764E-2</v>
      </c>
      <c r="J162" s="8">
        <v>5.0889011549165725E-3</v>
      </c>
    </row>
    <row r="163" spans="1:10" x14ac:dyDescent="0.2">
      <c r="A163" s="1">
        <v>610</v>
      </c>
      <c r="B163" s="8">
        <v>8.0787849700314301E-2</v>
      </c>
      <c r="C163" s="8">
        <v>4.939341170132578E-3</v>
      </c>
      <c r="H163" s="9">
        <v>610</v>
      </c>
      <c r="I163" s="8">
        <v>8.0787849700314274E-2</v>
      </c>
      <c r="J163" s="8">
        <v>4.9393411701325884E-3</v>
      </c>
    </row>
    <row r="164" spans="1:10" x14ac:dyDescent="0.2">
      <c r="A164" s="1">
        <v>611</v>
      </c>
      <c r="B164" s="8">
        <v>7.7850704183253738E-2</v>
      </c>
      <c r="C164" s="8">
        <v>4.8142232443251238E-3</v>
      </c>
      <c r="H164" s="9">
        <v>611</v>
      </c>
      <c r="I164" s="8">
        <v>7.7850704183253683E-2</v>
      </c>
      <c r="J164" s="8">
        <v>4.8142232443251221E-3</v>
      </c>
    </row>
    <row r="165" spans="1:10" x14ac:dyDescent="0.2">
      <c r="A165" s="1">
        <v>612</v>
      </c>
      <c r="B165" s="8">
        <v>7.4562036404187598E-2</v>
      </c>
      <c r="C165" s="8">
        <v>4.6709523704212726E-3</v>
      </c>
      <c r="H165" s="9">
        <v>612</v>
      </c>
      <c r="I165" s="8">
        <v>7.4562036404187682E-2</v>
      </c>
      <c r="J165" s="8">
        <v>4.670952370421283E-3</v>
      </c>
    </row>
    <row r="166" spans="1:10" x14ac:dyDescent="0.2">
      <c r="A166" s="1">
        <v>613</v>
      </c>
      <c r="B166" s="8">
        <v>7.1732514311879547E-2</v>
      </c>
      <c r="C166" s="8">
        <v>4.5563739472226144E-3</v>
      </c>
      <c r="H166" s="9">
        <v>613</v>
      </c>
      <c r="I166" s="8">
        <v>7.1732514311879214E-2</v>
      </c>
      <c r="J166" s="8">
        <v>4.5563739472226084E-3</v>
      </c>
    </row>
    <row r="167" spans="1:10" x14ac:dyDescent="0.2">
      <c r="A167" s="1">
        <v>614</v>
      </c>
      <c r="B167" s="8">
        <v>6.8568591441753757E-2</v>
      </c>
      <c r="C167" s="8">
        <v>4.4187324148504733E-3</v>
      </c>
      <c r="H167" s="9">
        <v>614</v>
      </c>
      <c r="I167" s="8">
        <v>6.8568591441753757E-2</v>
      </c>
      <c r="J167" s="8">
        <v>4.4187324148504681E-3</v>
      </c>
    </row>
    <row r="168" spans="1:10" x14ac:dyDescent="0.2">
      <c r="A168" s="1">
        <v>615</v>
      </c>
      <c r="B168" s="8">
        <v>6.5616823253640183E-2</v>
      </c>
      <c r="C168" s="8">
        <v>4.2934686917024123E-3</v>
      </c>
      <c r="H168" s="9">
        <v>615</v>
      </c>
      <c r="I168" s="8">
        <v>6.5616823253640266E-2</v>
      </c>
      <c r="J168" s="8">
        <v>4.2934686917024123E-3</v>
      </c>
    </row>
    <row r="169" spans="1:10" x14ac:dyDescent="0.2">
      <c r="A169" s="1">
        <v>616</v>
      </c>
      <c r="B169" s="8">
        <v>6.2458445281891498E-2</v>
      </c>
      <c r="C169" s="8">
        <v>4.1510521060946519E-3</v>
      </c>
      <c r="H169" s="9">
        <v>616</v>
      </c>
      <c r="I169" s="8">
        <v>6.2458445281891262E-2</v>
      </c>
      <c r="J169" s="8">
        <v>4.1510521060946493E-3</v>
      </c>
    </row>
    <row r="170" spans="1:10" x14ac:dyDescent="0.2">
      <c r="A170" s="1">
        <v>617</v>
      </c>
      <c r="B170" s="8">
        <v>5.9843243253248496E-2</v>
      </c>
      <c r="C170" s="8">
        <v>4.0410780061409029E-3</v>
      </c>
      <c r="H170" s="9">
        <v>617</v>
      </c>
      <c r="I170" s="8">
        <v>5.9843243253248524E-2</v>
      </c>
      <c r="J170" s="8">
        <v>4.0410780061409107E-3</v>
      </c>
    </row>
    <row r="171" spans="1:10" x14ac:dyDescent="0.2">
      <c r="A171" s="1">
        <v>618</v>
      </c>
      <c r="B171" s="8">
        <v>5.68587555295915E-2</v>
      </c>
      <c r="C171" s="8">
        <v>3.9010341891795681E-3</v>
      </c>
      <c r="H171" s="9">
        <v>618</v>
      </c>
      <c r="I171" s="8">
        <v>5.6858755529591631E-2</v>
      </c>
      <c r="J171" s="8">
        <v>3.9010341891795725E-3</v>
      </c>
    </row>
    <row r="172" spans="1:10" x14ac:dyDescent="0.2">
      <c r="A172" s="1">
        <v>619</v>
      </c>
      <c r="B172" s="8">
        <v>5.4018035683890887E-2</v>
      </c>
      <c r="C172" s="8">
        <v>3.7651751894381114E-3</v>
      </c>
      <c r="H172" s="9">
        <v>619</v>
      </c>
      <c r="I172" s="8">
        <v>5.4018035683891075E-2</v>
      </c>
      <c r="J172" s="8">
        <v>3.7651751894381136E-3</v>
      </c>
    </row>
    <row r="173" spans="1:10" x14ac:dyDescent="0.2">
      <c r="A173" s="1">
        <v>620</v>
      </c>
      <c r="B173" s="8">
        <v>5.1644798573459834E-2</v>
      </c>
      <c r="C173" s="8">
        <v>3.6545376477578515E-3</v>
      </c>
      <c r="H173" s="9">
        <v>620</v>
      </c>
      <c r="I173" s="8">
        <v>5.1644798573459827E-2</v>
      </c>
      <c r="J173" s="8">
        <v>3.6545376477578606E-3</v>
      </c>
    </row>
    <row r="174" spans="1:10" x14ac:dyDescent="0.2">
      <c r="A174" s="1">
        <v>621</v>
      </c>
      <c r="B174" s="8">
        <v>4.9289236903228534E-2</v>
      </c>
      <c r="C174" s="8">
        <v>3.5392688795711502E-3</v>
      </c>
      <c r="H174" s="9">
        <v>621</v>
      </c>
      <c r="I174" s="8">
        <v>4.9289236903228284E-2</v>
      </c>
      <c r="J174" s="8">
        <v>3.5392688795711502E-3</v>
      </c>
    </row>
    <row r="175" spans="1:10" x14ac:dyDescent="0.2">
      <c r="A175" s="1">
        <v>622</v>
      </c>
      <c r="B175" s="8">
        <v>4.6708582926702352E-2</v>
      </c>
      <c r="C175" s="8">
        <v>3.400319079850703E-3</v>
      </c>
      <c r="H175" s="9">
        <v>622</v>
      </c>
      <c r="I175" s="8">
        <v>4.6708582926702213E-2</v>
      </c>
      <c r="J175" s="8">
        <v>3.4003190798506944E-3</v>
      </c>
    </row>
    <row r="176" spans="1:10" x14ac:dyDescent="0.2">
      <c r="A176" s="1">
        <v>623</v>
      </c>
      <c r="B176" s="8">
        <v>4.4518511622236662E-2</v>
      </c>
      <c r="C176" s="8">
        <v>3.2816347501519764E-3</v>
      </c>
      <c r="H176" s="9">
        <v>623</v>
      </c>
      <c r="I176" s="8">
        <v>4.4518511622236634E-2</v>
      </c>
      <c r="J176" s="8">
        <v>3.2816347501519738E-3</v>
      </c>
    </row>
    <row r="177" spans="1:10" x14ac:dyDescent="0.2">
      <c r="A177" s="1">
        <v>624</v>
      </c>
      <c r="B177" s="8">
        <v>4.2595449071273453E-2</v>
      </c>
      <c r="C177" s="8">
        <v>3.1759538344732939E-3</v>
      </c>
      <c r="H177" s="9">
        <v>624</v>
      </c>
      <c r="I177" s="8">
        <v>4.2595449071273217E-2</v>
      </c>
      <c r="J177" s="8">
        <v>3.1759538344733051E-3</v>
      </c>
    </row>
    <row r="178" spans="1:10" x14ac:dyDescent="0.2">
      <c r="A178" s="1">
        <v>625</v>
      </c>
      <c r="B178" s="8">
        <v>4.060664685961788E-2</v>
      </c>
      <c r="C178" s="8">
        <v>3.0581198163946192E-3</v>
      </c>
      <c r="H178" s="9">
        <v>625</v>
      </c>
      <c r="I178" s="8">
        <v>4.060664685961779E-2</v>
      </c>
      <c r="J178" s="8">
        <v>3.0581198163946166E-3</v>
      </c>
    </row>
    <row r="179" spans="1:10" x14ac:dyDescent="0.2">
      <c r="A179" s="1">
        <v>626</v>
      </c>
      <c r="B179" s="8">
        <v>3.8881992613620943E-2</v>
      </c>
      <c r="C179" s="8">
        <v>2.953584322570914E-3</v>
      </c>
      <c r="H179" s="9">
        <v>626</v>
      </c>
      <c r="I179" s="8">
        <v>3.8881992613620797E-2</v>
      </c>
      <c r="J179" s="8">
        <v>2.9535843225709096E-3</v>
      </c>
    </row>
    <row r="180" spans="1:10" x14ac:dyDescent="0.2">
      <c r="A180" s="1">
        <v>627</v>
      </c>
      <c r="B180" s="8">
        <v>3.7294620365076754E-2</v>
      </c>
      <c r="C180" s="8">
        <v>2.8541363513108499E-3</v>
      </c>
      <c r="H180" s="9">
        <v>627</v>
      </c>
      <c r="I180" s="8">
        <v>3.7294620365076803E-2</v>
      </c>
      <c r="J180" s="8">
        <v>2.8541363513108486E-3</v>
      </c>
    </row>
    <row r="181" spans="1:10" x14ac:dyDescent="0.2">
      <c r="A181" s="1">
        <v>628</v>
      </c>
      <c r="B181" s="8">
        <v>3.5717136750119539E-2</v>
      </c>
      <c r="C181" s="8">
        <v>2.7497395286114308E-3</v>
      </c>
      <c r="H181" s="9">
        <v>628</v>
      </c>
      <c r="I181" s="8">
        <v>3.5717136750119449E-2</v>
      </c>
      <c r="J181" s="8">
        <v>2.7497395286114334E-3</v>
      </c>
    </row>
    <row r="182" spans="1:10" x14ac:dyDescent="0.2">
      <c r="A182" s="1">
        <v>629</v>
      </c>
      <c r="B182" s="8">
        <v>3.4405906856047323E-2</v>
      </c>
      <c r="C182" s="8">
        <v>2.6617182899212511E-3</v>
      </c>
      <c r="H182" s="9">
        <v>629</v>
      </c>
      <c r="I182" s="8">
        <v>3.4405906856047275E-2</v>
      </c>
      <c r="J182" s="8">
        <v>2.661718289921261E-3</v>
      </c>
    </row>
    <row r="183" spans="1:10" x14ac:dyDescent="0.2">
      <c r="A183" s="1">
        <v>630</v>
      </c>
      <c r="B183" s="8">
        <v>3.2983368704097953E-2</v>
      </c>
      <c r="C183" s="8">
        <v>2.5604536460946104E-3</v>
      </c>
      <c r="H183" s="9">
        <v>630</v>
      </c>
      <c r="I183" s="8">
        <v>3.2983368704097904E-2</v>
      </c>
      <c r="J183" s="8">
        <v>2.5604536460946126E-3</v>
      </c>
    </row>
    <row r="184" spans="1:10" x14ac:dyDescent="0.2">
      <c r="A184" s="1">
        <v>631</v>
      </c>
      <c r="B184" s="8">
        <v>3.1621150488388539E-2</v>
      </c>
      <c r="C184" s="8">
        <v>2.4608015168506802E-3</v>
      </c>
      <c r="H184" s="9">
        <v>631</v>
      </c>
      <c r="I184" s="8">
        <v>3.1621150488388539E-2</v>
      </c>
      <c r="J184" s="8">
        <v>2.4608015168506789E-3</v>
      </c>
    </row>
    <row r="185" spans="1:10" x14ac:dyDescent="0.2">
      <c r="A185" s="1">
        <v>632</v>
      </c>
      <c r="B185" s="8">
        <v>3.0542494195478373E-2</v>
      </c>
      <c r="C185" s="8">
        <v>2.3802086992374895E-3</v>
      </c>
      <c r="H185" s="9">
        <v>632</v>
      </c>
      <c r="I185" s="8">
        <v>3.0542494195478387E-2</v>
      </c>
      <c r="J185" s="8">
        <v>2.3802086992374891E-3</v>
      </c>
    </row>
    <row r="186" spans="1:10" x14ac:dyDescent="0.2">
      <c r="A186" s="1">
        <v>633</v>
      </c>
      <c r="B186" s="8">
        <v>2.946376078847757E-2</v>
      </c>
      <c r="C186" s="8">
        <v>2.2976093247957497E-3</v>
      </c>
      <c r="H186" s="9">
        <v>633</v>
      </c>
      <c r="I186" s="8">
        <v>2.9463760788477567E-2</v>
      </c>
      <c r="J186" s="8">
        <v>2.2976093247957519E-3</v>
      </c>
    </row>
    <row r="187" spans="1:10" x14ac:dyDescent="0.2">
      <c r="A187" s="1">
        <v>634</v>
      </c>
      <c r="B187" s="8">
        <v>2.8298395116781901E-2</v>
      </c>
      <c r="C187" s="8">
        <v>2.2064483775932828E-3</v>
      </c>
      <c r="H187" s="9">
        <v>634</v>
      </c>
      <c r="I187" s="8">
        <v>2.8298395116782005E-2</v>
      </c>
      <c r="J187" s="8">
        <v>2.2064483775932828E-3</v>
      </c>
    </row>
    <row r="188" spans="1:10" x14ac:dyDescent="0.2">
      <c r="A188" s="1">
        <v>635</v>
      </c>
      <c r="B188" s="8">
        <v>2.7319009143190215E-2</v>
      </c>
      <c r="C188" s="8">
        <v>2.1291473505507174E-3</v>
      </c>
      <c r="H188" s="9">
        <v>635</v>
      </c>
      <c r="I188" s="8">
        <v>2.7319009143190298E-2</v>
      </c>
      <c r="J188" s="8">
        <v>2.1291473505507183E-3</v>
      </c>
    </row>
    <row r="189" spans="1:10" x14ac:dyDescent="0.2">
      <c r="A189" s="1">
        <v>636</v>
      </c>
      <c r="B189" s="8">
        <v>2.6350984911779993E-2</v>
      </c>
      <c r="C189" s="8">
        <v>2.0521237437409494E-3</v>
      </c>
      <c r="H189" s="9">
        <v>636</v>
      </c>
      <c r="I189" s="8">
        <v>2.6350984911780007E-2</v>
      </c>
      <c r="J189" s="8">
        <v>2.0521237437409467E-3</v>
      </c>
    </row>
    <row r="190" spans="1:10" x14ac:dyDescent="0.2">
      <c r="A190" s="1">
        <v>637</v>
      </c>
      <c r="B190" s="8">
        <v>2.5485967774116432E-2</v>
      </c>
      <c r="C190" s="8">
        <v>1.9836227117823214E-3</v>
      </c>
      <c r="H190" s="9">
        <v>637</v>
      </c>
      <c r="I190" s="8">
        <v>2.548596777411638E-2</v>
      </c>
      <c r="J190" s="8">
        <v>1.9836227117823249E-3</v>
      </c>
    </row>
    <row r="191" spans="1:10" x14ac:dyDescent="0.2">
      <c r="A191" s="1">
        <v>638</v>
      </c>
      <c r="B191" s="8">
        <v>2.4589979527076981E-2</v>
      </c>
      <c r="C191" s="8">
        <v>1.9130382520566867E-3</v>
      </c>
      <c r="H191" s="9">
        <v>638</v>
      </c>
      <c r="I191" s="8">
        <v>2.4589979527076866E-2</v>
      </c>
      <c r="J191" s="8">
        <v>1.9130382520566938E-3</v>
      </c>
    </row>
    <row r="192" spans="1:10" x14ac:dyDescent="0.2">
      <c r="A192" s="1">
        <v>639</v>
      </c>
      <c r="B192" s="8">
        <v>2.3600018620658945E-2</v>
      </c>
      <c r="C192" s="8">
        <v>1.835891845550578E-3</v>
      </c>
      <c r="H192" s="9">
        <v>639</v>
      </c>
      <c r="I192" s="8">
        <v>2.3600018620658969E-2</v>
      </c>
      <c r="J192" s="8">
        <v>1.8358918455505732E-3</v>
      </c>
    </row>
    <row r="193" spans="1:10" x14ac:dyDescent="0.2">
      <c r="A193" s="1">
        <v>640</v>
      </c>
      <c r="B193" s="8">
        <v>2.2784841946678132E-2</v>
      </c>
      <c r="C193" s="8">
        <v>1.7732061765620736E-3</v>
      </c>
      <c r="H193" s="9">
        <v>640</v>
      </c>
      <c r="I193" s="8">
        <v>2.278484194667818E-2</v>
      </c>
      <c r="J193" s="8">
        <v>1.7732061765620769E-3</v>
      </c>
    </row>
    <row r="194" spans="1:10" x14ac:dyDescent="0.2">
      <c r="A194" s="1">
        <v>641</v>
      </c>
      <c r="B194" s="8">
        <v>2.1885505734188574E-2</v>
      </c>
      <c r="C194" s="8">
        <v>1.7048004312685224E-3</v>
      </c>
      <c r="H194" s="9">
        <v>641</v>
      </c>
      <c r="I194" s="8">
        <v>2.1885505734188515E-2</v>
      </c>
      <c r="J194" s="8">
        <v>1.7048004312685272E-3</v>
      </c>
    </row>
    <row r="195" spans="1:10" x14ac:dyDescent="0.2">
      <c r="A195" s="1">
        <v>642</v>
      </c>
      <c r="B195" s="8">
        <v>2.1112665034309037E-2</v>
      </c>
      <c r="C195" s="8">
        <v>1.6472847059663123E-3</v>
      </c>
      <c r="H195" s="9">
        <v>642</v>
      </c>
      <c r="I195" s="8">
        <v>2.1112665034309086E-2</v>
      </c>
      <c r="J195" s="8">
        <v>1.647284705966312E-3</v>
      </c>
    </row>
    <row r="196" spans="1:10" x14ac:dyDescent="0.2">
      <c r="A196" s="1">
        <v>643</v>
      </c>
      <c r="B196" s="8">
        <v>2.0177045094714512E-2</v>
      </c>
      <c r="C196" s="8">
        <v>1.5780303599548574E-3</v>
      </c>
      <c r="H196" s="9">
        <v>643</v>
      </c>
      <c r="I196" s="8">
        <v>2.0177045094714519E-2</v>
      </c>
      <c r="J196" s="8">
        <v>1.5780303599548587E-3</v>
      </c>
    </row>
    <row r="197" spans="1:10" x14ac:dyDescent="0.2">
      <c r="A197" s="1">
        <v>644</v>
      </c>
      <c r="B197" s="8">
        <v>1.9648968686612124E-2</v>
      </c>
      <c r="C197" s="8">
        <v>1.5418600502391689E-3</v>
      </c>
      <c r="H197" s="9">
        <v>644</v>
      </c>
      <c r="I197" s="8">
        <v>1.9648968686612145E-2</v>
      </c>
      <c r="J197" s="8">
        <v>1.541860050239173E-3</v>
      </c>
    </row>
    <row r="198" spans="1:10" x14ac:dyDescent="0.2">
      <c r="A198" s="1">
        <v>645</v>
      </c>
      <c r="B198" s="8">
        <v>1.8799595343436979E-2</v>
      </c>
      <c r="C198" s="8">
        <v>1.4820117461164582E-3</v>
      </c>
      <c r="H198" s="9">
        <v>645</v>
      </c>
      <c r="I198" s="8">
        <v>1.8799595343437003E-2</v>
      </c>
      <c r="J198" s="8">
        <v>1.4820117461164586E-3</v>
      </c>
    </row>
    <row r="199" spans="1:10" x14ac:dyDescent="0.2">
      <c r="A199" s="1">
        <v>646</v>
      </c>
      <c r="B199" s="8">
        <v>1.8176586108958663E-2</v>
      </c>
      <c r="C199" s="8">
        <v>1.4414056736171855E-3</v>
      </c>
      <c r="H199" s="9">
        <v>646</v>
      </c>
      <c r="I199" s="8">
        <v>1.817658610895867E-2</v>
      </c>
      <c r="J199" s="8">
        <v>1.4414056736171826E-3</v>
      </c>
    </row>
    <row r="200" spans="1:10" x14ac:dyDescent="0.2">
      <c r="A200" s="1">
        <v>647</v>
      </c>
      <c r="B200" s="8">
        <v>1.7506790758472571E-2</v>
      </c>
      <c r="C200" s="8">
        <v>1.3996661620808346E-3</v>
      </c>
      <c r="H200" s="9">
        <v>647</v>
      </c>
      <c r="I200" s="8">
        <v>1.7506790758472557E-2</v>
      </c>
      <c r="J200" s="8">
        <v>1.3996661620808357E-3</v>
      </c>
    </row>
    <row r="201" spans="1:10" x14ac:dyDescent="0.2">
      <c r="A201" s="1">
        <v>648</v>
      </c>
      <c r="B201" s="8">
        <v>1.6876454961994487E-2</v>
      </c>
      <c r="C201" s="8">
        <v>1.3637756408433474E-3</v>
      </c>
      <c r="H201" s="9">
        <v>648</v>
      </c>
      <c r="I201" s="8">
        <v>1.6876454961994469E-2</v>
      </c>
      <c r="J201" s="8">
        <v>1.3637756408433482E-3</v>
      </c>
    </row>
    <row r="202" spans="1:10" x14ac:dyDescent="0.2">
      <c r="A202" s="1">
        <v>649</v>
      </c>
      <c r="B202" s="8">
        <v>1.6134782213237744E-2</v>
      </c>
      <c r="C202" s="8">
        <v>1.3228330664296554E-3</v>
      </c>
      <c r="H202" s="9">
        <v>649</v>
      </c>
      <c r="I202" s="8">
        <v>1.6134782213237775E-2</v>
      </c>
      <c r="J202" s="8">
        <v>1.3228330664296541E-3</v>
      </c>
    </row>
    <row r="203" spans="1:10" x14ac:dyDescent="0.2">
      <c r="A203" s="1">
        <v>650</v>
      </c>
      <c r="B203" s="8">
        <v>1.5538297954474679E-2</v>
      </c>
      <c r="C203" s="8">
        <v>1.2994038493096031E-3</v>
      </c>
      <c r="H203" s="9">
        <v>650</v>
      </c>
      <c r="I203" s="8">
        <v>1.55382979544747E-2</v>
      </c>
      <c r="J203" s="8">
        <v>1.2994038493096029E-3</v>
      </c>
    </row>
    <row r="204" spans="1:10" x14ac:dyDescent="0.2">
      <c r="A204" s="6"/>
      <c r="B204" s="8"/>
      <c r="C204" s="8"/>
    </row>
    <row r="205" spans="1:10" x14ac:dyDescent="0.2">
      <c r="A205" s="6"/>
      <c r="B205" s="8"/>
      <c r="C205" s="8"/>
    </row>
    <row r="206" spans="1:10" x14ac:dyDescent="0.2">
      <c r="A206" s="6"/>
      <c r="B206" s="8"/>
      <c r="C206" s="8"/>
    </row>
    <row r="207" spans="1:10" x14ac:dyDescent="0.2">
      <c r="A207" s="6"/>
      <c r="B207" s="8"/>
      <c r="C207" s="8"/>
    </row>
    <row r="208" spans="1:10" x14ac:dyDescent="0.2">
      <c r="A208" s="6"/>
      <c r="B208" s="8"/>
      <c r="C208" s="8"/>
    </row>
    <row r="209" spans="1:3" x14ac:dyDescent="0.2">
      <c r="A209" s="6"/>
      <c r="B209" s="8"/>
      <c r="C209" s="8"/>
    </row>
    <row r="210" spans="1:3" x14ac:dyDescent="0.2">
      <c r="A210" s="6"/>
      <c r="B210" s="8"/>
      <c r="C210" s="8"/>
    </row>
    <row r="211" spans="1:3" x14ac:dyDescent="0.2">
      <c r="A211" s="6"/>
      <c r="B211" s="8"/>
      <c r="C211" s="8"/>
    </row>
    <row r="212" spans="1:3" x14ac:dyDescent="0.2">
      <c r="A212" s="6"/>
      <c r="B212" s="8"/>
      <c r="C212" s="8"/>
    </row>
    <row r="213" spans="1:3" x14ac:dyDescent="0.2">
      <c r="A213" s="6"/>
      <c r="B213" s="8"/>
      <c r="C213" s="8"/>
    </row>
    <row r="214" spans="1:3" x14ac:dyDescent="0.2">
      <c r="A214" s="6"/>
      <c r="B214" s="8"/>
      <c r="C214" s="8"/>
    </row>
    <row r="215" spans="1:3" x14ac:dyDescent="0.2">
      <c r="A215" s="6"/>
      <c r="B215" s="8"/>
      <c r="C215" s="8"/>
    </row>
    <row r="216" spans="1:3" x14ac:dyDescent="0.2">
      <c r="A216" s="6"/>
      <c r="B216" s="8"/>
      <c r="C216" s="8"/>
    </row>
    <row r="217" spans="1:3" x14ac:dyDescent="0.2">
      <c r="A217" s="6"/>
      <c r="B217" s="8"/>
      <c r="C217" s="8"/>
    </row>
    <row r="218" spans="1:3" x14ac:dyDescent="0.2">
      <c r="A218" s="6"/>
      <c r="B218" s="8"/>
      <c r="C218" s="8"/>
    </row>
    <row r="219" spans="1:3" x14ac:dyDescent="0.2">
      <c r="A219" s="6"/>
      <c r="B219" s="8"/>
      <c r="C219" s="8"/>
    </row>
    <row r="220" spans="1:3" x14ac:dyDescent="0.2">
      <c r="A220" s="6"/>
      <c r="B220" s="8"/>
      <c r="C220" s="8"/>
    </row>
    <row r="221" spans="1:3" x14ac:dyDescent="0.2">
      <c r="A221" s="6"/>
      <c r="B221" s="8"/>
      <c r="C221" s="8"/>
    </row>
    <row r="222" spans="1:3" x14ac:dyDescent="0.2">
      <c r="A222" s="6"/>
      <c r="B222" s="8"/>
      <c r="C222" s="8"/>
    </row>
    <row r="223" spans="1:3" x14ac:dyDescent="0.2">
      <c r="A223" s="6"/>
      <c r="B223" s="8"/>
      <c r="C223" s="8"/>
    </row>
    <row r="224" spans="1:3" x14ac:dyDescent="0.2">
      <c r="A224" s="6"/>
      <c r="B224" s="8"/>
      <c r="C224" s="8"/>
    </row>
    <row r="225" spans="1:3" x14ac:dyDescent="0.2">
      <c r="A225" s="6"/>
      <c r="B225" s="8"/>
      <c r="C225" s="8"/>
    </row>
    <row r="226" spans="1:3" x14ac:dyDescent="0.2">
      <c r="A226" s="6"/>
      <c r="B226" s="8"/>
      <c r="C226" s="8"/>
    </row>
    <row r="227" spans="1:3" x14ac:dyDescent="0.2">
      <c r="A227" s="6"/>
      <c r="B227" s="8"/>
      <c r="C227" s="8"/>
    </row>
    <row r="228" spans="1:3" x14ac:dyDescent="0.2">
      <c r="A228" s="6"/>
      <c r="B228" s="8"/>
      <c r="C228" s="8"/>
    </row>
    <row r="229" spans="1:3" x14ac:dyDescent="0.2">
      <c r="A229" s="6"/>
      <c r="B229" s="8"/>
      <c r="C229" s="8"/>
    </row>
    <row r="230" spans="1:3" x14ac:dyDescent="0.2">
      <c r="A230" s="6"/>
      <c r="B230" s="8"/>
      <c r="C230" s="8"/>
    </row>
    <row r="231" spans="1:3" x14ac:dyDescent="0.2">
      <c r="A231" s="6"/>
      <c r="B231" s="8"/>
      <c r="C231" s="8"/>
    </row>
    <row r="232" spans="1:3" x14ac:dyDescent="0.2">
      <c r="A232" s="6"/>
      <c r="B232" s="8"/>
      <c r="C232" s="8"/>
    </row>
    <row r="233" spans="1:3" x14ac:dyDescent="0.2">
      <c r="A233" s="6"/>
      <c r="B233" s="8"/>
      <c r="C233" s="8"/>
    </row>
    <row r="234" spans="1:3" x14ac:dyDescent="0.2">
      <c r="A234" s="6"/>
      <c r="B234" s="8"/>
      <c r="C234" s="8"/>
    </row>
    <row r="235" spans="1:3" x14ac:dyDescent="0.2">
      <c r="A235" s="6"/>
      <c r="B235" s="8"/>
      <c r="C235" s="8"/>
    </row>
    <row r="236" spans="1:3" x14ac:dyDescent="0.2">
      <c r="A236" s="6"/>
      <c r="B236" s="8"/>
      <c r="C236" s="8"/>
    </row>
    <row r="237" spans="1:3" x14ac:dyDescent="0.2">
      <c r="A237" s="6"/>
      <c r="B237" s="8"/>
      <c r="C237" s="8"/>
    </row>
    <row r="238" spans="1:3" x14ac:dyDescent="0.2">
      <c r="A238" s="6"/>
      <c r="B238" s="8"/>
      <c r="C238" s="8"/>
    </row>
    <row r="239" spans="1:3" x14ac:dyDescent="0.2">
      <c r="A239" s="6"/>
      <c r="B239" s="8"/>
      <c r="C239" s="8"/>
    </row>
    <row r="240" spans="1:3" x14ac:dyDescent="0.2">
      <c r="A240" s="6"/>
      <c r="B240" s="8"/>
      <c r="C240" s="8"/>
    </row>
    <row r="241" spans="1:3" x14ac:dyDescent="0.2">
      <c r="A241" s="6"/>
      <c r="B241" s="8"/>
      <c r="C241" s="8"/>
    </row>
    <row r="242" spans="1:3" x14ac:dyDescent="0.2">
      <c r="A242" s="6"/>
      <c r="B242" s="8"/>
      <c r="C242" s="8"/>
    </row>
    <row r="243" spans="1:3" x14ac:dyDescent="0.2">
      <c r="A243" s="6"/>
      <c r="B243" s="8"/>
      <c r="C243" s="8"/>
    </row>
    <row r="244" spans="1:3" x14ac:dyDescent="0.2">
      <c r="A244" s="6"/>
      <c r="B244" s="8"/>
      <c r="C244" s="8"/>
    </row>
    <row r="245" spans="1:3" x14ac:dyDescent="0.2">
      <c r="A245" s="6"/>
      <c r="B245" s="8"/>
      <c r="C245" s="8"/>
    </row>
    <row r="246" spans="1:3" x14ac:dyDescent="0.2">
      <c r="A246" s="6"/>
      <c r="B246" s="8"/>
      <c r="C246" s="8"/>
    </row>
    <row r="247" spans="1:3" x14ac:dyDescent="0.2">
      <c r="A247" s="6"/>
      <c r="B247" s="8"/>
      <c r="C247" s="8"/>
    </row>
    <row r="248" spans="1:3" x14ac:dyDescent="0.2">
      <c r="A248" s="6"/>
      <c r="B248" s="8"/>
      <c r="C248" s="8"/>
    </row>
    <row r="249" spans="1:3" x14ac:dyDescent="0.2">
      <c r="A249" s="6"/>
      <c r="B249" s="8"/>
      <c r="C249" s="8"/>
    </row>
    <row r="250" spans="1:3" x14ac:dyDescent="0.2">
      <c r="A250" s="6"/>
      <c r="B250" s="8"/>
      <c r="C250" s="8"/>
    </row>
    <row r="251" spans="1:3" x14ac:dyDescent="0.2">
      <c r="A251" s="6"/>
      <c r="B251" s="8"/>
      <c r="C251" s="8"/>
    </row>
    <row r="252" spans="1:3" x14ac:dyDescent="0.2">
      <c r="A252" s="6"/>
      <c r="B252" s="8"/>
      <c r="C252" s="8"/>
    </row>
    <row r="253" spans="1:3" x14ac:dyDescent="0.2">
      <c r="A253" s="6"/>
      <c r="B253" s="8"/>
      <c r="C253" s="8"/>
    </row>
    <row r="254" spans="1:3" x14ac:dyDescent="0.2">
      <c r="A254" s="6"/>
      <c r="B254" s="8"/>
      <c r="C254" s="8"/>
    </row>
    <row r="255" spans="1:3" x14ac:dyDescent="0.2">
      <c r="A255" s="6"/>
      <c r="B255" s="8"/>
      <c r="C255" s="8"/>
    </row>
    <row r="256" spans="1:3" x14ac:dyDescent="0.2">
      <c r="A256" s="6"/>
      <c r="B256" s="8"/>
      <c r="C256" s="8"/>
    </row>
    <row r="257" spans="1:3" x14ac:dyDescent="0.2">
      <c r="A257" s="6"/>
      <c r="B257" s="8"/>
      <c r="C257" s="8"/>
    </row>
    <row r="258" spans="1:3" x14ac:dyDescent="0.2">
      <c r="A258" s="6"/>
      <c r="B258" s="8"/>
      <c r="C258" s="8"/>
    </row>
    <row r="259" spans="1:3" x14ac:dyDescent="0.2">
      <c r="A259" s="6"/>
      <c r="B259" s="8"/>
      <c r="C259" s="8"/>
    </row>
    <row r="260" spans="1:3" x14ac:dyDescent="0.2">
      <c r="A260" s="6"/>
      <c r="B260" s="8"/>
      <c r="C260" s="8"/>
    </row>
    <row r="261" spans="1:3" x14ac:dyDescent="0.2">
      <c r="A261" s="6"/>
      <c r="B261" s="8"/>
      <c r="C261" s="8"/>
    </row>
    <row r="262" spans="1:3" x14ac:dyDescent="0.2">
      <c r="A262" s="6"/>
      <c r="B262" s="8"/>
      <c r="C262" s="8"/>
    </row>
    <row r="263" spans="1:3" x14ac:dyDescent="0.2">
      <c r="A263" s="6"/>
      <c r="B263" s="8"/>
      <c r="C263" s="8"/>
    </row>
    <row r="264" spans="1:3" x14ac:dyDescent="0.2">
      <c r="A264" s="6"/>
      <c r="B264" s="8"/>
      <c r="C264" s="8"/>
    </row>
    <row r="265" spans="1:3" x14ac:dyDescent="0.2">
      <c r="A265" s="6"/>
      <c r="B265" s="8"/>
      <c r="C265" s="8"/>
    </row>
    <row r="266" spans="1:3" x14ac:dyDescent="0.2">
      <c r="A266" s="6"/>
      <c r="B266" s="8"/>
      <c r="C266" s="8"/>
    </row>
    <row r="267" spans="1:3" x14ac:dyDescent="0.2">
      <c r="A267" s="6"/>
      <c r="B267" s="8"/>
      <c r="C267" s="8"/>
    </row>
    <row r="268" spans="1:3" x14ac:dyDescent="0.2">
      <c r="A268" s="6"/>
      <c r="B268" s="8"/>
      <c r="C268" s="8"/>
    </row>
    <row r="269" spans="1:3" x14ac:dyDescent="0.2">
      <c r="A269" s="6"/>
      <c r="B269" s="8"/>
      <c r="C269" s="8"/>
    </row>
    <row r="270" spans="1:3" x14ac:dyDescent="0.2">
      <c r="A270" s="6"/>
      <c r="B270" s="8"/>
      <c r="C270" s="8"/>
    </row>
    <row r="271" spans="1:3" x14ac:dyDescent="0.2">
      <c r="A271" s="6"/>
      <c r="B271" s="8"/>
      <c r="C271" s="8"/>
    </row>
    <row r="272" spans="1:3" x14ac:dyDescent="0.2">
      <c r="A272" s="6"/>
      <c r="B272" s="8"/>
      <c r="C272" s="8"/>
    </row>
    <row r="273" spans="1:3" x14ac:dyDescent="0.2">
      <c r="A273" s="6"/>
      <c r="B273" s="8"/>
      <c r="C273" s="8"/>
    </row>
    <row r="274" spans="1:3" x14ac:dyDescent="0.2">
      <c r="A274" s="6"/>
      <c r="B274" s="8"/>
      <c r="C274" s="8"/>
    </row>
    <row r="275" spans="1:3" x14ac:dyDescent="0.2">
      <c r="A275" s="6"/>
      <c r="B275" s="8"/>
      <c r="C275" s="8"/>
    </row>
    <row r="276" spans="1:3" x14ac:dyDescent="0.2">
      <c r="A276" s="6"/>
      <c r="B276" s="8"/>
      <c r="C276" s="8"/>
    </row>
    <row r="277" spans="1:3" x14ac:dyDescent="0.2">
      <c r="A277" s="6"/>
      <c r="B277" s="8"/>
      <c r="C277" s="8"/>
    </row>
    <row r="278" spans="1:3" x14ac:dyDescent="0.2">
      <c r="A278" s="6"/>
      <c r="B278" s="8"/>
      <c r="C278" s="8"/>
    </row>
    <row r="279" spans="1:3" x14ac:dyDescent="0.2">
      <c r="A279" s="6"/>
      <c r="B279" s="8"/>
      <c r="C279" s="8"/>
    </row>
    <row r="280" spans="1:3" x14ac:dyDescent="0.2">
      <c r="A280" s="6"/>
      <c r="B280" s="8"/>
      <c r="C280" s="8"/>
    </row>
    <row r="281" spans="1:3" x14ac:dyDescent="0.2">
      <c r="A281" s="6"/>
      <c r="B281" s="8"/>
      <c r="C281" s="8"/>
    </row>
    <row r="282" spans="1:3" x14ac:dyDescent="0.2">
      <c r="A282" s="6"/>
      <c r="B282" s="8"/>
      <c r="C282" s="8"/>
    </row>
    <row r="283" spans="1:3" x14ac:dyDescent="0.2">
      <c r="A283" s="6"/>
      <c r="B283" s="8"/>
      <c r="C283" s="8"/>
    </row>
    <row r="284" spans="1:3" x14ac:dyDescent="0.2">
      <c r="A284" s="6"/>
      <c r="B284" s="8"/>
      <c r="C284" s="8"/>
    </row>
    <row r="285" spans="1:3" x14ac:dyDescent="0.2">
      <c r="A285" s="6"/>
      <c r="B285" s="8"/>
      <c r="C285" s="8"/>
    </row>
    <row r="286" spans="1:3" x14ac:dyDescent="0.2">
      <c r="A286" s="6"/>
      <c r="B286" s="8"/>
      <c r="C286" s="8"/>
    </row>
    <row r="287" spans="1:3" x14ac:dyDescent="0.2">
      <c r="A287" s="6"/>
      <c r="B287" s="8"/>
      <c r="C287" s="8"/>
    </row>
    <row r="288" spans="1:3" x14ac:dyDescent="0.2">
      <c r="A288" s="6"/>
      <c r="B288" s="8"/>
      <c r="C288" s="8"/>
    </row>
    <row r="289" spans="1:3" x14ac:dyDescent="0.2">
      <c r="A289" s="6"/>
      <c r="B289" s="8"/>
      <c r="C289" s="8"/>
    </row>
    <row r="290" spans="1:3" x14ac:dyDescent="0.2">
      <c r="A290" s="6"/>
      <c r="B290" s="8"/>
      <c r="C290" s="8"/>
    </row>
    <row r="291" spans="1:3" x14ac:dyDescent="0.2">
      <c r="A291" s="6"/>
      <c r="B291" s="8"/>
      <c r="C291" s="8"/>
    </row>
    <row r="292" spans="1:3" x14ac:dyDescent="0.2">
      <c r="A292" s="6"/>
      <c r="B292" s="8"/>
      <c r="C292" s="8"/>
    </row>
    <row r="293" spans="1:3" x14ac:dyDescent="0.2">
      <c r="A293" s="6"/>
      <c r="B293" s="8"/>
      <c r="C293" s="8"/>
    </row>
    <row r="294" spans="1:3" x14ac:dyDescent="0.2">
      <c r="A294" s="6"/>
      <c r="B294" s="8"/>
      <c r="C294" s="8"/>
    </row>
    <row r="295" spans="1:3" x14ac:dyDescent="0.2">
      <c r="A295" s="6"/>
      <c r="B295" s="8"/>
      <c r="C295" s="8"/>
    </row>
    <row r="296" spans="1:3" x14ac:dyDescent="0.2">
      <c r="A296" s="6"/>
      <c r="B296" s="8"/>
      <c r="C296" s="8"/>
    </row>
    <row r="297" spans="1:3" x14ac:dyDescent="0.2">
      <c r="A297" s="6"/>
      <c r="B297" s="8"/>
      <c r="C297" s="8"/>
    </row>
    <row r="298" spans="1:3" x14ac:dyDescent="0.2">
      <c r="A298" s="6"/>
      <c r="B298" s="8"/>
      <c r="C298" s="8"/>
    </row>
    <row r="299" spans="1:3" x14ac:dyDescent="0.2">
      <c r="A299" s="6"/>
      <c r="B299" s="8"/>
      <c r="C299" s="8"/>
    </row>
    <row r="300" spans="1:3" x14ac:dyDescent="0.2">
      <c r="A300" s="6"/>
      <c r="B300" s="8"/>
      <c r="C300" s="8"/>
    </row>
    <row r="301" spans="1:3" x14ac:dyDescent="0.2">
      <c r="A301" s="6"/>
      <c r="B301" s="8"/>
      <c r="C301" s="8"/>
    </row>
    <row r="302" spans="1:3" x14ac:dyDescent="0.2">
      <c r="A302" s="6"/>
      <c r="B302" s="8"/>
      <c r="C302" s="8"/>
    </row>
    <row r="303" spans="1:3" x14ac:dyDescent="0.2">
      <c r="A303" s="6"/>
      <c r="B303" s="8"/>
      <c r="C303" s="8"/>
    </row>
    <row r="304" spans="1:3" x14ac:dyDescent="0.2">
      <c r="A304" s="11"/>
      <c r="B304" s="8"/>
      <c r="C304" s="8"/>
    </row>
    <row r="305" spans="1:3" x14ac:dyDescent="0.2">
      <c r="A305" s="11"/>
      <c r="B305" s="8"/>
      <c r="C305" s="8"/>
    </row>
    <row r="306" spans="1:3" x14ac:dyDescent="0.2">
      <c r="A306" s="11"/>
      <c r="B306" s="8"/>
      <c r="C306" s="8"/>
    </row>
    <row r="307" spans="1:3" x14ac:dyDescent="0.2">
      <c r="A307" s="11"/>
      <c r="B307" s="8"/>
      <c r="C307" s="8"/>
    </row>
    <row r="308" spans="1:3" x14ac:dyDescent="0.2">
      <c r="A308" s="11"/>
      <c r="B308" s="8"/>
      <c r="C308" s="8"/>
    </row>
    <row r="309" spans="1:3" x14ac:dyDescent="0.2">
      <c r="A309" s="11"/>
      <c r="B309" s="8"/>
      <c r="C309" s="8"/>
    </row>
    <row r="310" spans="1:3" x14ac:dyDescent="0.2">
      <c r="A310" s="11"/>
      <c r="B310" s="8"/>
      <c r="C310" s="8"/>
    </row>
    <row r="311" spans="1:3" x14ac:dyDescent="0.2">
      <c r="A311" s="11"/>
      <c r="B311" s="8"/>
      <c r="C311" s="8"/>
    </row>
    <row r="312" spans="1:3" x14ac:dyDescent="0.2">
      <c r="A312" s="11"/>
      <c r="B312" s="8"/>
      <c r="C312" s="8"/>
    </row>
    <row r="313" spans="1:3" x14ac:dyDescent="0.2">
      <c r="A313" s="11"/>
      <c r="B313" s="8"/>
      <c r="C313" s="8"/>
    </row>
    <row r="314" spans="1:3" x14ac:dyDescent="0.2">
      <c r="A314" s="11"/>
      <c r="B314" s="8"/>
      <c r="C314" s="8"/>
    </row>
    <row r="315" spans="1:3" x14ac:dyDescent="0.2">
      <c r="A315" s="11"/>
      <c r="B315" s="8"/>
      <c r="C315" s="8"/>
    </row>
    <row r="316" spans="1:3" x14ac:dyDescent="0.2">
      <c r="A316" s="11"/>
      <c r="B316" s="8"/>
      <c r="C316" s="8"/>
    </row>
    <row r="317" spans="1:3" x14ac:dyDescent="0.2">
      <c r="A317" s="11"/>
      <c r="B317" s="8"/>
      <c r="C317" s="8"/>
    </row>
    <row r="318" spans="1:3" x14ac:dyDescent="0.2">
      <c r="A318" s="11"/>
      <c r="B318" s="8"/>
      <c r="C318" s="8"/>
    </row>
    <row r="319" spans="1:3" x14ac:dyDescent="0.2">
      <c r="A319" s="11"/>
      <c r="B319" s="8"/>
      <c r="C319" s="8"/>
    </row>
    <row r="320" spans="1:3" x14ac:dyDescent="0.2">
      <c r="A320" s="11"/>
      <c r="B320" s="8"/>
      <c r="C320" s="8"/>
    </row>
    <row r="321" spans="1:3" x14ac:dyDescent="0.2">
      <c r="A321" s="11"/>
      <c r="B321" s="8"/>
      <c r="C321" s="8"/>
    </row>
    <row r="322" spans="1:3" x14ac:dyDescent="0.2">
      <c r="A322" s="11"/>
      <c r="B322" s="8"/>
      <c r="C322" s="8"/>
    </row>
    <row r="323" spans="1:3" x14ac:dyDescent="0.2">
      <c r="A323" s="11"/>
      <c r="B323" s="8"/>
      <c r="C323" s="8"/>
    </row>
    <row r="324" spans="1:3" x14ac:dyDescent="0.2">
      <c r="A324" s="11"/>
      <c r="B324" s="8"/>
      <c r="C324" s="8"/>
    </row>
    <row r="325" spans="1:3" x14ac:dyDescent="0.2">
      <c r="A325" s="11"/>
      <c r="B325" s="8"/>
      <c r="C325" s="8"/>
    </row>
    <row r="326" spans="1:3" x14ac:dyDescent="0.2">
      <c r="A326" s="11"/>
      <c r="B326" s="8"/>
      <c r="C326" s="8"/>
    </row>
    <row r="327" spans="1:3" x14ac:dyDescent="0.2">
      <c r="A327" s="11"/>
      <c r="B327" s="8"/>
      <c r="C327" s="8"/>
    </row>
    <row r="328" spans="1:3" x14ac:dyDescent="0.2">
      <c r="A328" s="11"/>
      <c r="B328" s="8"/>
      <c r="C328" s="8"/>
    </row>
    <row r="329" spans="1:3" x14ac:dyDescent="0.2">
      <c r="A329" s="11"/>
      <c r="B329" s="8"/>
      <c r="C329" s="8"/>
    </row>
    <row r="330" spans="1:3" x14ac:dyDescent="0.2">
      <c r="A330" s="11"/>
      <c r="B330" s="8"/>
      <c r="C330" s="8"/>
    </row>
    <row r="331" spans="1:3" x14ac:dyDescent="0.2">
      <c r="A331" s="11"/>
      <c r="B331" s="8"/>
      <c r="C331" s="8"/>
    </row>
    <row r="332" spans="1:3" x14ac:dyDescent="0.2">
      <c r="A332" s="11"/>
      <c r="B332" s="8"/>
      <c r="C332" s="8"/>
    </row>
    <row r="333" spans="1:3" x14ac:dyDescent="0.2">
      <c r="A333" s="11"/>
      <c r="B333" s="8"/>
      <c r="C333" s="8"/>
    </row>
    <row r="334" spans="1:3" x14ac:dyDescent="0.2">
      <c r="A334" s="11"/>
      <c r="B334" s="8"/>
      <c r="C334" s="8"/>
    </row>
    <row r="335" spans="1:3" x14ac:dyDescent="0.2">
      <c r="A335" s="11"/>
      <c r="B335" s="8"/>
      <c r="C335" s="8"/>
    </row>
    <row r="336" spans="1:3" x14ac:dyDescent="0.2">
      <c r="A336" s="11"/>
      <c r="B336" s="8"/>
      <c r="C336" s="8"/>
    </row>
    <row r="337" spans="1:3" x14ac:dyDescent="0.2">
      <c r="A337" s="11"/>
      <c r="B337" s="8"/>
      <c r="C337" s="8"/>
    </row>
    <row r="338" spans="1:3" x14ac:dyDescent="0.2">
      <c r="A338" s="11"/>
      <c r="B338" s="8"/>
      <c r="C338" s="8"/>
    </row>
    <row r="339" spans="1:3" x14ac:dyDescent="0.2">
      <c r="A339" s="11"/>
      <c r="B339" s="8"/>
      <c r="C339" s="8"/>
    </row>
    <row r="340" spans="1:3" x14ac:dyDescent="0.2">
      <c r="A340" s="11"/>
      <c r="B340" s="8"/>
      <c r="C340" s="8"/>
    </row>
    <row r="341" spans="1:3" x14ac:dyDescent="0.2">
      <c r="A341" s="11"/>
      <c r="B341" s="8"/>
      <c r="C341" s="8"/>
    </row>
    <row r="342" spans="1:3" x14ac:dyDescent="0.2">
      <c r="A342" s="11"/>
      <c r="B342" s="8"/>
      <c r="C342" s="8"/>
    </row>
    <row r="343" spans="1:3" x14ac:dyDescent="0.2">
      <c r="A343" s="11"/>
      <c r="B343" s="8"/>
      <c r="C343" s="8"/>
    </row>
    <row r="344" spans="1:3" x14ac:dyDescent="0.2">
      <c r="A344" s="11"/>
      <c r="B344" s="8"/>
      <c r="C344" s="8"/>
    </row>
    <row r="345" spans="1:3" x14ac:dyDescent="0.2">
      <c r="A345" s="11"/>
      <c r="B345" s="8"/>
      <c r="C345" s="8"/>
    </row>
    <row r="346" spans="1:3" x14ac:dyDescent="0.2">
      <c r="A346" s="11"/>
      <c r="B346" s="8"/>
      <c r="C346" s="8"/>
    </row>
    <row r="347" spans="1:3" x14ac:dyDescent="0.2">
      <c r="A347" s="11"/>
      <c r="B347" s="8"/>
      <c r="C347" s="8"/>
    </row>
    <row r="348" spans="1:3" x14ac:dyDescent="0.2">
      <c r="A348" s="11"/>
      <c r="B348" s="8"/>
      <c r="C348" s="8"/>
    </row>
    <row r="349" spans="1:3" x14ac:dyDescent="0.2">
      <c r="A349" s="11"/>
      <c r="B349" s="8"/>
      <c r="C349" s="8"/>
    </row>
    <row r="350" spans="1:3" x14ac:dyDescent="0.2">
      <c r="A350" s="11"/>
      <c r="B350" s="8"/>
      <c r="C350" s="8"/>
    </row>
    <row r="351" spans="1:3" x14ac:dyDescent="0.2">
      <c r="A351" s="11"/>
      <c r="B351" s="8"/>
      <c r="C351" s="8"/>
    </row>
    <row r="352" spans="1:3" x14ac:dyDescent="0.2">
      <c r="A352" s="11"/>
      <c r="B352" s="8"/>
      <c r="C352" s="8"/>
    </row>
    <row r="353" spans="1:3" x14ac:dyDescent="0.2">
      <c r="A353" s="11"/>
      <c r="B353" s="8"/>
      <c r="C353" s="8"/>
    </row>
    <row r="354" spans="1:3" x14ac:dyDescent="0.2">
      <c r="A354" s="11"/>
      <c r="B354" s="8"/>
      <c r="C354" s="8"/>
    </row>
    <row r="355" spans="1:3" x14ac:dyDescent="0.2">
      <c r="A355" s="11"/>
      <c r="B355" s="8"/>
      <c r="C355" s="8"/>
    </row>
    <row r="356" spans="1:3" x14ac:dyDescent="0.2">
      <c r="A356" s="11"/>
      <c r="B356" s="8"/>
      <c r="C356" s="8"/>
    </row>
    <row r="357" spans="1:3" x14ac:dyDescent="0.2">
      <c r="A357" s="11"/>
      <c r="B357" s="8"/>
      <c r="C357" s="8"/>
    </row>
    <row r="358" spans="1:3" x14ac:dyDescent="0.2">
      <c r="A358" s="11"/>
      <c r="B358" s="8"/>
      <c r="C358" s="8"/>
    </row>
    <row r="359" spans="1:3" x14ac:dyDescent="0.2">
      <c r="A359" s="11"/>
      <c r="B359" s="8"/>
      <c r="C359" s="8"/>
    </row>
    <row r="360" spans="1:3" x14ac:dyDescent="0.2">
      <c r="A360" s="11"/>
      <c r="B360" s="8"/>
      <c r="C360" s="8"/>
    </row>
    <row r="361" spans="1:3" x14ac:dyDescent="0.2">
      <c r="A361" s="11"/>
      <c r="B361" s="8"/>
      <c r="C361" s="8"/>
    </row>
    <row r="362" spans="1:3" x14ac:dyDescent="0.2">
      <c r="A362" s="11"/>
      <c r="B362" s="8"/>
      <c r="C362" s="8"/>
    </row>
    <row r="363" spans="1:3" x14ac:dyDescent="0.2">
      <c r="A363" s="11"/>
      <c r="B363" s="8"/>
      <c r="C363" s="8"/>
    </row>
    <row r="364" spans="1:3" x14ac:dyDescent="0.2">
      <c r="A364" s="11"/>
      <c r="B364" s="8"/>
      <c r="C364" s="8"/>
    </row>
    <row r="365" spans="1:3" x14ac:dyDescent="0.2">
      <c r="A365" s="11"/>
      <c r="B365" s="8"/>
      <c r="C365" s="8"/>
    </row>
    <row r="366" spans="1:3" x14ac:dyDescent="0.2">
      <c r="A366" s="11"/>
      <c r="B366" s="8"/>
      <c r="C366" s="8"/>
    </row>
    <row r="367" spans="1:3" x14ac:dyDescent="0.2">
      <c r="A367" s="11"/>
      <c r="B367" s="8"/>
      <c r="C367" s="8"/>
    </row>
    <row r="368" spans="1:3" x14ac:dyDescent="0.2">
      <c r="A368" s="11"/>
      <c r="B368" s="8"/>
      <c r="C368" s="8"/>
    </row>
    <row r="369" spans="1:3" x14ac:dyDescent="0.2">
      <c r="A369" s="11"/>
      <c r="B369" s="8"/>
      <c r="C369" s="8"/>
    </row>
    <row r="370" spans="1:3" x14ac:dyDescent="0.2">
      <c r="A370" s="11"/>
      <c r="B370" s="8"/>
      <c r="C370" s="8"/>
    </row>
    <row r="371" spans="1:3" x14ac:dyDescent="0.2">
      <c r="A371" s="11"/>
      <c r="B371" s="8"/>
      <c r="C371" s="8"/>
    </row>
    <row r="372" spans="1:3" x14ac:dyDescent="0.2">
      <c r="A372" s="11"/>
      <c r="B372" s="8"/>
      <c r="C372" s="8"/>
    </row>
    <row r="373" spans="1:3" x14ac:dyDescent="0.2">
      <c r="A373" s="11"/>
      <c r="B373" s="8"/>
      <c r="C373" s="8"/>
    </row>
    <row r="374" spans="1:3" x14ac:dyDescent="0.2">
      <c r="A374" s="11"/>
      <c r="B374" s="8"/>
      <c r="C374" s="8"/>
    </row>
    <row r="375" spans="1:3" x14ac:dyDescent="0.2">
      <c r="A375" s="11"/>
      <c r="B375" s="8"/>
      <c r="C375" s="8"/>
    </row>
    <row r="376" spans="1:3" x14ac:dyDescent="0.2">
      <c r="A376" s="11"/>
      <c r="B376" s="8"/>
      <c r="C376" s="8"/>
    </row>
    <row r="377" spans="1:3" x14ac:dyDescent="0.2">
      <c r="A377" s="11"/>
      <c r="B377" s="8"/>
      <c r="C377" s="8"/>
    </row>
    <row r="378" spans="1:3" x14ac:dyDescent="0.2">
      <c r="A378" s="11"/>
      <c r="B378" s="8"/>
      <c r="C378" s="8"/>
    </row>
    <row r="379" spans="1:3" x14ac:dyDescent="0.2">
      <c r="A379" s="11"/>
      <c r="B379" s="8"/>
      <c r="C379" s="8"/>
    </row>
    <row r="380" spans="1:3" x14ac:dyDescent="0.2">
      <c r="A380" s="11"/>
      <c r="B380" s="8"/>
      <c r="C380" s="8"/>
    </row>
    <row r="381" spans="1:3" x14ac:dyDescent="0.2">
      <c r="A381" s="11"/>
      <c r="B381" s="8"/>
      <c r="C381" s="8"/>
    </row>
    <row r="382" spans="1:3" x14ac:dyDescent="0.2">
      <c r="A382" s="11"/>
      <c r="B382" s="8"/>
      <c r="C382" s="8"/>
    </row>
    <row r="383" spans="1:3" x14ac:dyDescent="0.2">
      <c r="A383" s="11"/>
      <c r="B383" s="8"/>
      <c r="C383" s="8"/>
    </row>
    <row r="384" spans="1:3" x14ac:dyDescent="0.2">
      <c r="A384" s="11"/>
      <c r="B384" s="8"/>
      <c r="C384" s="8"/>
    </row>
    <row r="385" spans="1:3" x14ac:dyDescent="0.2">
      <c r="A385" s="11"/>
      <c r="B385" s="8"/>
      <c r="C385" s="8"/>
    </row>
    <row r="386" spans="1:3" x14ac:dyDescent="0.2">
      <c r="A386" s="11"/>
      <c r="B386" s="8"/>
      <c r="C386" s="8"/>
    </row>
    <row r="387" spans="1:3" x14ac:dyDescent="0.2">
      <c r="A387" s="11"/>
      <c r="B387" s="8"/>
      <c r="C387" s="8"/>
    </row>
    <row r="388" spans="1:3" x14ac:dyDescent="0.2">
      <c r="A388" s="11"/>
      <c r="B388" s="8"/>
      <c r="C388" s="8"/>
    </row>
    <row r="389" spans="1:3" x14ac:dyDescent="0.2">
      <c r="A389" s="11"/>
      <c r="B389" s="8"/>
      <c r="C389" s="8"/>
    </row>
    <row r="390" spans="1:3" x14ac:dyDescent="0.2">
      <c r="A390" s="11"/>
      <c r="B390" s="8"/>
      <c r="C390" s="8"/>
    </row>
    <row r="391" spans="1:3" x14ac:dyDescent="0.2">
      <c r="A391" s="11"/>
      <c r="B391" s="8"/>
      <c r="C391" s="8"/>
    </row>
    <row r="392" spans="1:3" x14ac:dyDescent="0.2">
      <c r="A392" s="11"/>
      <c r="B392" s="8"/>
      <c r="C392" s="8"/>
    </row>
    <row r="393" spans="1:3" x14ac:dyDescent="0.2">
      <c r="A393" s="11"/>
      <c r="B393" s="8"/>
      <c r="C393" s="8"/>
    </row>
    <row r="394" spans="1:3" x14ac:dyDescent="0.2">
      <c r="A394" s="11"/>
      <c r="B394" s="8"/>
      <c r="C394" s="8"/>
    </row>
    <row r="395" spans="1:3" x14ac:dyDescent="0.2">
      <c r="A395" s="11"/>
      <c r="B395" s="8"/>
      <c r="C395" s="8"/>
    </row>
    <row r="396" spans="1:3" x14ac:dyDescent="0.2">
      <c r="A396" s="11"/>
      <c r="B396" s="8"/>
      <c r="C396" s="8"/>
    </row>
    <row r="397" spans="1:3" x14ac:dyDescent="0.2">
      <c r="A397" s="11"/>
      <c r="B397" s="8"/>
      <c r="C397" s="8"/>
    </row>
    <row r="398" spans="1:3" x14ac:dyDescent="0.2">
      <c r="A398" s="11"/>
      <c r="B398" s="8"/>
      <c r="C398" s="8"/>
    </row>
    <row r="399" spans="1:3" x14ac:dyDescent="0.2">
      <c r="A399" s="11"/>
      <c r="B399" s="8"/>
      <c r="C399" s="8"/>
    </row>
    <row r="400" spans="1:3" x14ac:dyDescent="0.2">
      <c r="A400" s="11"/>
      <c r="B400" s="8"/>
      <c r="C400" s="8"/>
    </row>
    <row r="401" spans="1:3" x14ac:dyDescent="0.2">
      <c r="A401" s="11"/>
      <c r="B401" s="8"/>
      <c r="C401" s="8"/>
    </row>
    <row r="402" spans="1:3" x14ac:dyDescent="0.2">
      <c r="A402" s="11"/>
      <c r="B402" s="8"/>
      <c r="C402" s="8"/>
    </row>
    <row r="403" spans="1:3" x14ac:dyDescent="0.2">
      <c r="A403" s="11"/>
      <c r="B403" s="8"/>
      <c r="C403" s="8"/>
    </row>
    <row r="404" spans="1:3" x14ac:dyDescent="0.2">
      <c r="A404" s="11"/>
      <c r="B404" s="8"/>
      <c r="C404" s="8"/>
    </row>
    <row r="405" spans="1:3" x14ac:dyDescent="0.2">
      <c r="A405" s="11"/>
      <c r="B405" s="8"/>
      <c r="C405" s="8"/>
    </row>
    <row r="406" spans="1:3" x14ac:dyDescent="0.2">
      <c r="A406" s="11"/>
      <c r="B406" s="8"/>
      <c r="C406" s="8"/>
    </row>
    <row r="407" spans="1:3" x14ac:dyDescent="0.2">
      <c r="A407" s="11"/>
      <c r="B407" s="8"/>
      <c r="C407" s="8"/>
    </row>
    <row r="408" spans="1:3" x14ac:dyDescent="0.2">
      <c r="A408" s="11"/>
      <c r="B408" s="8"/>
      <c r="C408" s="8"/>
    </row>
    <row r="409" spans="1:3" x14ac:dyDescent="0.2">
      <c r="A409" s="11"/>
      <c r="B409" s="8"/>
      <c r="C409" s="8"/>
    </row>
    <row r="410" spans="1:3" x14ac:dyDescent="0.2">
      <c r="A410" s="11"/>
      <c r="B410" s="8"/>
      <c r="C410" s="8"/>
    </row>
    <row r="411" spans="1:3" x14ac:dyDescent="0.2">
      <c r="A411" s="11"/>
      <c r="B411" s="8"/>
      <c r="C411" s="8"/>
    </row>
    <row r="412" spans="1:3" x14ac:dyDescent="0.2">
      <c r="A412" s="11"/>
      <c r="B412" s="8"/>
      <c r="C412" s="8"/>
    </row>
    <row r="413" spans="1:3" x14ac:dyDescent="0.2">
      <c r="A413" s="11"/>
      <c r="B413" s="8"/>
      <c r="C413" s="8"/>
    </row>
    <row r="414" spans="1:3" x14ac:dyDescent="0.2">
      <c r="A414" s="11"/>
      <c r="B414" s="8"/>
      <c r="C414" s="8"/>
    </row>
    <row r="415" spans="1:3" x14ac:dyDescent="0.2">
      <c r="A415" s="11"/>
      <c r="B415" s="8"/>
      <c r="C415" s="8"/>
    </row>
    <row r="416" spans="1:3" x14ac:dyDescent="0.2">
      <c r="A416" s="11"/>
      <c r="B416" s="8"/>
      <c r="C416" s="8"/>
    </row>
    <row r="417" spans="1:3" x14ac:dyDescent="0.2">
      <c r="A417" s="11"/>
      <c r="B417" s="8"/>
      <c r="C417" s="8"/>
    </row>
    <row r="418" spans="1:3" x14ac:dyDescent="0.2">
      <c r="A418" s="11"/>
      <c r="B418" s="8"/>
      <c r="C418" s="8"/>
    </row>
    <row r="419" spans="1:3" x14ac:dyDescent="0.2">
      <c r="A419" s="11"/>
      <c r="B419" s="8"/>
      <c r="C419" s="8"/>
    </row>
    <row r="420" spans="1:3" x14ac:dyDescent="0.2">
      <c r="A420" s="11"/>
      <c r="B420" s="8"/>
      <c r="C420" s="8"/>
    </row>
    <row r="421" spans="1:3" x14ac:dyDescent="0.2">
      <c r="A421" s="11"/>
      <c r="B421" s="8"/>
      <c r="C421" s="8"/>
    </row>
    <row r="422" spans="1:3" x14ac:dyDescent="0.2">
      <c r="A422" s="11"/>
      <c r="B422" s="8"/>
      <c r="C422" s="8"/>
    </row>
    <row r="423" spans="1:3" x14ac:dyDescent="0.2">
      <c r="A423" s="11"/>
      <c r="B423" s="8"/>
      <c r="C423" s="8"/>
    </row>
    <row r="424" spans="1:3" x14ac:dyDescent="0.2">
      <c r="A424" s="11"/>
      <c r="B424" s="8"/>
      <c r="C424" s="8"/>
    </row>
    <row r="425" spans="1:3" x14ac:dyDescent="0.2">
      <c r="A425" s="11"/>
      <c r="B425" s="8"/>
      <c r="C425" s="8"/>
    </row>
    <row r="426" spans="1:3" x14ac:dyDescent="0.2">
      <c r="A426" s="11"/>
      <c r="B426" s="8"/>
      <c r="C426" s="8"/>
    </row>
    <row r="427" spans="1:3" x14ac:dyDescent="0.2">
      <c r="A427" s="11"/>
      <c r="B427" s="8"/>
      <c r="C427" s="8"/>
    </row>
    <row r="428" spans="1:3" x14ac:dyDescent="0.2">
      <c r="A428" s="11"/>
      <c r="B428" s="8"/>
      <c r="C428" s="8"/>
    </row>
    <row r="429" spans="1:3" x14ac:dyDescent="0.2">
      <c r="A429" s="11"/>
      <c r="B429" s="8"/>
      <c r="C429" s="8"/>
    </row>
    <row r="430" spans="1:3" x14ac:dyDescent="0.2">
      <c r="A430" s="11"/>
      <c r="B430" s="8"/>
      <c r="C430" s="8"/>
    </row>
    <row r="431" spans="1:3" x14ac:dyDescent="0.2">
      <c r="A431" s="11"/>
      <c r="B431" s="8"/>
      <c r="C431" s="8"/>
    </row>
    <row r="432" spans="1:3" x14ac:dyDescent="0.2">
      <c r="A432" s="11"/>
      <c r="B432" s="8"/>
      <c r="C432" s="8"/>
    </row>
    <row r="433" spans="1:3" x14ac:dyDescent="0.2">
      <c r="A433" s="11"/>
      <c r="B433" s="8"/>
      <c r="C433" s="8"/>
    </row>
    <row r="434" spans="1:3" x14ac:dyDescent="0.2">
      <c r="A434" s="11"/>
      <c r="B434" s="8"/>
      <c r="C434" s="8"/>
    </row>
    <row r="435" spans="1:3" x14ac:dyDescent="0.2">
      <c r="A435" s="11"/>
      <c r="B435" s="8"/>
      <c r="C435" s="8"/>
    </row>
    <row r="436" spans="1:3" x14ac:dyDescent="0.2">
      <c r="A436" s="11"/>
      <c r="B436" s="8"/>
      <c r="C436" s="8"/>
    </row>
    <row r="437" spans="1:3" x14ac:dyDescent="0.2">
      <c r="A437" s="11"/>
      <c r="B437" s="8"/>
      <c r="C437" s="8"/>
    </row>
    <row r="438" spans="1:3" x14ac:dyDescent="0.2">
      <c r="A438" s="11"/>
      <c r="B438" s="8"/>
      <c r="C438" s="8"/>
    </row>
    <row r="439" spans="1:3" x14ac:dyDescent="0.2">
      <c r="A439" s="11"/>
      <c r="B439" s="8"/>
      <c r="C439" s="8"/>
    </row>
    <row r="440" spans="1:3" x14ac:dyDescent="0.2">
      <c r="A440" s="11"/>
      <c r="B440" s="8"/>
      <c r="C440" s="8"/>
    </row>
    <row r="441" spans="1:3" x14ac:dyDescent="0.2">
      <c r="A441" s="11"/>
      <c r="B441" s="8"/>
      <c r="C441" s="8"/>
    </row>
    <row r="442" spans="1:3" x14ac:dyDescent="0.2">
      <c r="A442" s="11"/>
      <c r="B442" s="8"/>
      <c r="C442" s="8"/>
    </row>
    <row r="443" spans="1:3" x14ac:dyDescent="0.2">
      <c r="A443" s="11"/>
      <c r="B443" s="8"/>
      <c r="C443" s="8"/>
    </row>
    <row r="444" spans="1:3" x14ac:dyDescent="0.2">
      <c r="A444" s="11"/>
      <c r="B444" s="8"/>
      <c r="C444" s="8"/>
    </row>
    <row r="445" spans="1:3" x14ac:dyDescent="0.2">
      <c r="A445" s="11"/>
      <c r="B445" s="8"/>
      <c r="C445" s="8"/>
    </row>
    <row r="446" spans="1:3" x14ac:dyDescent="0.2">
      <c r="A446" s="11"/>
      <c r="B446" s="8"/>
      <c r="C446" s="8"/>
    </row>
    <row r="447" spans="1:3" x14ac:dyDescent="0.2">
      <c r="A447" s="11"/>
      <c r="B447" s="8"/>
      <c r="C447" s="8"/>
    </row>
    <row r="448" spans="1:3" x14ac:dyDescent="0.2">
      <c r="A448" s="11"/>
      <c r="B448" s="8"/>
      <c r="C448" s="8"/>
    </row>
    <row r="449" spans="1:3" x14ac:dyDescent="0.2">
      <c r="A449" s="11"/>
      <c r="B449" s="8"/>
      <c r="C449" s="8"/>
    </row>
    <row r="450" spans="1:3" x14ac:dyDescent="0.2">
      <c r="A450" s="11"/>
      <c r="B450" s="8"/>
      <c r="C450" s="8"/>
    </row>
    <row r="451" spans="1:3" x14ac:dyDescent="0.2">
      <c r="A451" s="11"/>
      <c r="B451" s="8"/>
      <c r="C451" s="8"/>
    </row>
    <row r="452" spans="1:3" x14ac:dyDescent="0.2">
      <c r="A452" s="11"/>
      <c r="B452" s="8"/>
      <c r="C452" s="8"/>
    </row>
    <row r="453" spans="1:3" x14ac:dyDescent="0.2">
      <c r="A453" s="11"/>
      <c r="B453" s="8"/>
      <c r="C453" s="8"/>
    </row>
    <row r="454" spans="1:3" x14ac:dyDescent="0.2">
      <c r="A454" s="11"/>
      <c r="B454" s="8"/>
      <c r="C454" s="8"/>
    </row>
    <row r="455" spans="1:3" x14ac:dyDescent="0.2">
      <c r="A455" s="11"/>
      <c r="B455" s="8"/>
      <c r="C455" s="8"/>
    </row>
    <row r="456" spans="1:3" x14ac:dyDescent="0.2">
      <c r="A456" s="11"/>
      <c r="B456" s="8"/>
      <c r="C456" s="8"/>
    </row>
    <row r="457" spans="1:3" x14ac:dyDescent="0.2">
      <c r="A457" s="11"/>
      <c r="B457" s="8"/>
      <c r="C457" s="8"/>
    </row>
    <row r="458" spans="1:3" x14ac:dyDescent="0.2">
      <c r="A458" s="11"/>
      <c r="B458" s="8"/>
      <c r="C458" s="8"/>
    </row>
    <row r="459" spans="1:3" x14ac:dyDescent="0.2">
      <c r="A459" s="11"/>
      <c r="B459" s="8"/>
      <c r="C459" s="8"/>
    </row>
    <row r="460" spans="1:3" x14ac:dyDescent="0.2">
      <c r="A460" s="11"/>
      <c r="B460" s="8"/>
      <c r="C460" s="8"/>
    </row>
    <row r="461" spans="1:3" x14ac:dyDescent="0.2">
      <c r="A461" s="11"/>
      <c r="B461" s="8"/>
      <c r="C461" s="8"/>
    </row>
    <row r="462" spans="1:3" x14ac:dyDescent="0.2">
      <c r="A462" s="11"/>
      <c r="B462" s="8"/>
      <c r="C462" s="8"/>
    </row>
    <row r="463" spans="1:3" x14ac:dyDescent="0.2">
      <c r="A463" s="11"/>
      <c r="B463" s="8"/>
      <c r="C463" s="8"/>
    </row>
    <row r="464" spans="1:3" x14ac:dyDescent="0.2">
      <c r="A464" s="11"/>
      <c r="B464" s="8"/>
      <c r="C464" s="8"/>
    </row>
    <row r="465" spans="1:3" x14ac:dyDescent="0.2">
      <c r="A465" s="11"/>
      <c r="B465" s="8"/>
      <c r="C465" s="8"/>
    </row>
    <row r="466" spans="1:3" x14ac:dyDescent="0.2">
      <c r="A466" s="11"/>
      <c r="B466" s="8"/>
      <c r="C466" s="8"/>
    </row>
    <row r="467" spans="1:3" x14ac:dyDescent="0.2">
      <c r="A467" s="11"/>
      <c r="B467" s="8"/>
      <c r="C467" s="8"/>
    </row>
    <row r="468" spans="1:3" x14ac:dyDescent="0.2">
      <c r="A468" s="11"/>
      <c r="B468" s="8"/>
      <c r="C468" s="8"/>
    </row>
    <row r="469" spans="1:3" x14ac:dyDescent="0.2">
      <c r="A469" s="11"/>
      <c r="B469" s="8"/>
      <c r="C469" s="8"/>
    </row>
    <row r="470" spans="1:3" x14ac:dyDescent="0.2">
      <c r="A470" s="11"/>
      <c r="B470" s="8"/>
      <c r="C470" s="8"/>
    </row>
    <row r="471" spans="1:3" x14ac:dyDescent="0.2">
      <c r="A471" s="11"/>
      <c r="B471" s="8"/>
      <c r="C471" s="8"/>
    </row>
    <row r="472" spans="1:3" x14ac:dyDescent="0.2">
      <c r="A472" s="11"/>
      <c r="B472" s="8"/>
      <c r="C472" s="8"/>
    </row>
    <row r="473" spans="1:3" x14ac:dyDescent="0.2">
      <c r="A473" s="11"/>
      <c r="B473" s="8"/>
      <c r="C473" s="8"/>
    </row>
    <row r="474" spans="1:3" x14ac:dyDescent="0.2">
      <c r="A474" s="11"/>
      <c r="B474" s="8"/>
      <c r="C474" s="8"/>
    </row>
    <row r="475" spans="1:3" x14ac:dyDescent="0.2">
      <c r="A475" s="11"/>
      <c r="B475" s="8"/>
      <c r="C475" s="8"/>
    </row>
    <row r="476" spans="1:3" x14ac:dyDescent="0.2">
      <c r="A476" s="11"/>
      <c r="B476" s="8"/>
      <c r="C476" s="8"/>
    </row>
    <row r="477" spans="1:3" x14ac:dyDescent="0.2">
      <c r="A477" s="11"/>
      <c r="B477" s="8"/>
      <c r="C477" s="8"/>
    </row>
    <row r="478" spans="1:3" x14ac:dyDescent="0.2">
      <c r="A478" s="11"/>
      <c r="B478" s="8"/>
      <c r="C478" s="8"/>
    </row>
    <row r="479" spans="1:3" x14ac:dyDescent="0.2">
      <c r="A479" s="11"/>
      <c r="B479" s="8"/>
      <c r="C479" s="8"/>
    </row>
    <row r="480" spans="1:3" x14ac:dyDescent="0.2">
      <c r="A480" s="11"/>
      <c r="B480" s="8"/>
      <c r="C480" s="8"/>
    </row>
    <row r="481" spans="1:3" x14ac:dyDescent="0.2">
      <c r="A481" s="11"/>
      <c r="B481" s="8"/>
      <c r="C481" s="8"/>
    </row>
    <row r="482" spans="1:3" x14ac:dyDescent="0.2">
      <c r="A482" s="11"/>
      <c r="B482" s="8"/>
      <c r="C482" s="8"/>
    </row>
    <row r="483" spans="1:3" x14ac:dyDescent="0.2">
      <c r="A483" s="11"/>
      <c r="B483" s="8"/>
      <c r="C483" s="8"/>
    </row>
    <row r="484" spans="1:3" x14ac:dyDescent="0.2">
      <c r="A484" s="11"/>
      <c r="B484" s="8"/>
      <c r="C484" s="8"/>
    </row>
    <row r="485" spans="1:3" x14ac:dyDescent="0.2">
      <c r="A485" s="11"/>
      <c r="B485" s="8"/>
      <c r="C485" s="8"/>
    </row>
    <row r="486" spans="1:3" x14ac:dyDescent="0.2">
      <c r="A486" s="11"/>
      <c r="B486" s="8"/>
      <c r="C486" s="8"/>
    </row>
    <row r="487" spans="1:3" x14ac:dyDescent="0.2">
      <c r="A487" s="11"/>
      <c r="B487" s="8"/>
      <c r="C487" s="8"/>
    </row>
    <row r="488" spans="1:3" x14ac:dyDescent="0.2">
      <c r="A488" s="11"/>
      <c r="B488" s="8"/>
      <c r="C488" s="8"/>
    </row>
    <row r="489" spans="1:3" x14ac:dyDescent="0.2">
      <c r="A489" s="11"/>
      <c r="B489" s="8"/>
      <c r="C489" s="8"/>
    </row>
    <row r="490" spans="1:3" x14ac:dyDescent="0.2">
      <c r="A490" s="11"/>
      <c r="B490" s="8"/>
      <c r="C490" s="8"/>
    </row>
    <row r="491" spans="1:3" x14ac:dyDescent="0.2">
      <c r="A491" s="11"/>
      <c r="B491" s="8"/>
      <c r="C491" s="8"/>
    </row>
    <row r="492" spans="1:3" x14ac:dyDescent="0.2">
      <c r="A492" s="11"/>
      <c r="B492" s="8"/>
      <c r="C492" s="8"/>
    </row>
    <row r="493" spans="1:3" x14ac:dyDescent="0.2">
      <c r="A493" s="11"/>
      <c r="B493" s="8"/>
      <c r="C493" s="8"/>
    </row>
    <row r="494" spans="1:3" x14ac:dyDescent="0.2">
      <c r="A494" s="11"/>
      <c r="B494" s="8"/>
      <c r="C494" s="8"/>
    </row>
    <row r="495" spans="1:3" x14ac:dyDescent="0.2">
      <c r="A495" s="11"/>
      <c r="B495" s="8"/>
      <c r="C495" s="8"/>
    </row>
    <row r="496" spans="1:3" x14ac:dyDescent="0.2">
      <c r="A496" s="11"/>
      <c r="B496" s="8"/>
      <c r="C496" s="8"/>
    </row>
    <row r="497" spans="1:3" x14ac:dyDescent="0.2">
      <c r="A497" s="11"/>
      <c r="B497" s="8"/>
      <c r="C497" s="8"/>
    </row>
    <row r="498" spans="1:3" x14ac:dyDescent="0.2">
      <c r="A498" s="11"/>
      <c r="B498" s="8"/>
      <c r="C498" s="8"/>
    </row>
    <row r="499" spans="1:3" x14ac:dyDescent="0.2">
      <c r="A499" s="11"/>
      <c r="B499" s="8"/>
      <c r="C499" s="8"/>
    </row>
    <row r="500" spans="1:3" x14ac:dyDescent="0.2">
      <c r="A500" s="11"/>
      <c r="B500" s="8"/>
      <c r="C500" s="8"/>
    </row>
    <row r="501" spans="1:3" x14ac:dyDescent="0.2">
      <c r="A501" s="11"/>
      <c r="B501" s="8"/>
      <c r="C501" s="8"/>
    </row>
    <row r="502" spans="1:3" x14ac:dyDescent="0.2">
      <c r="A502" s="11"/>
      <c r="B502" s="8"/>
      <c r="C502" s="8"/>
    </row>
    <row r="503" spans="1:3" x14ac:dyDescent="0.2">
      <c r="A503" s="11"/>
      <c r="B503" s="8"/>
      <c r="C503" s="8"/>
    </row>
    <row r="504" spans="1:3" x14ac:dyDescent="0.2">
      <c r="A504" s="11"/>
      <c r="B504" s="8"/>
      <c r="C504" s="8"/>
    </row>
    <row r="505" spans="1:3" x14ac:dyDescent="0.2">
      <c r="A505" s="11"/>
      <c r="B505" s="8"/>
      <c r="C505" s="8"/>
    </row>
    <row r="506" spans="1:3" x14ac:dyDescent="0.2">
      <c r="A506" s="11"/>
      <c r="B506" s="8"/>
      <c r="C506" s="8"/>
    </row>
    <row r="507" spans="1:3" x14ac:dyDescent="0.2">
      <c r="A507" s="11"/>
      <c r="B507" s="8"/>
      <c r="C507" s="8"/>
    </row>
    <row r="508" spans="1:3" x14ac:dyDescent="0.2">
      <c r="A508" s="11"/>
      <c r="B508" s="8"/>
      <c r="C508" s="8"/>
    </row>
    <row r="509" spans="1:3" x14ac:dyDescent="0.2">
      <c r="A509" s="11"/>
      <c r="B509" s="8"/>
      <c r="C509" s="8"/>
    </row>
    <row r="510" spans="1:3" x14ac:dyDescent="0.2">
      <c r="A510" s="11"/>
      <c r="B510" s="8"/>
      <c r="C510" s="8"/>
    </row>
    <row r="511" spans="1:3" x14ac:dyDescent="0.2">
      <c r="A511" s="11"/>
      <c r="B511" s="8"/>
      <c r="C511" s="8"/>
    </row>
    <row r="512" spans="1:3" x14ac:dyDescent="0.2">
      <c r="A512" s="11"/>
      <c r="B512" s="8"/>
      <c r="C512" s="8"/>
    </row>
    <row r="513" spans="1:3" x14ac:dyDescent="0.2">
      <c r="A513" s="11"/>
      <c r="B513" s="8"/>
      <c r="C513" s="8"/>
    </row>
    <row r="514" spans="1:3" x14ac:dyDescent="0.2">
      <c r="A514" s="11"/>
      <c r="B514" s="8"/>
      <c r="C514" s="8"/>
    </row>
    <row r="515" spans="1:3" x14ac:dyDescent="0.2">
      <c r="A515" s="11"/>
      <c r="B515" s="8"/>
      <c r="C515" s="8"/>
    </row>
    <row r="516" spans="1:3" x14ac:dyDescent="0.2">
      <c r="A516" s="11"/>
      <c r="B516" s="8"/>
      <c r="C516" s="8"/>
    </row>
    <row r="517" spans="1:3" x14ac:dyDescent="0.2">
      <c r="A517" s="11"/>
      <c r="B517" s="8"/>
      <c r="C517" s="8"/>
    </row>
    <row r="518" spans="1:3" x14ac:dyDescent="0.2">
      <c r="A518" s="11"/>
      <c r="B518" s="8"/>
      <c r="C518" s="8"/>
    </row>
    <row r="519" spans="1:3" x14ac:dyDescent="0.2">
      <c r="A519" s="11"/>
      <c r="B519" s="8"/>
      <c r="C519" s="8"/>
    </row>
    <row r="520" spans="1:3" x14ac:dyDescent="0.2">
      <c r="A520" s="11"/>
      <c r="B520" s="8"/>
      <c r="C520" s="8"/>
    </row>
    <row r="521" spans="1:3" x14ac:dyDescent="0.2">
      <c r="A521" s="11"/>
      <c r="B521" s="8"/>
      <c r="C521" s="8"/>
    </row>
    <row r="522" spans="1:3" x14ac:dyDescent="0.2">
      <c r="A522" s="11"/>
      <c r="B522" s="8"/>
      <c r="C522" s="8"/>
    </row>
    <row r="523" spans="1:3" x14ac:dyDescent="0.2">
      <c r="A523" s="11"/>
      <c r="B523" s="8"/>
      <c r="C523" s="8"/>
    </row>
    <row r="524" spans="1:3" x14ac:dyDescent="0.2">
      <c r="A524" s="11"/>
      <c r="B524" s="8"/>
      <c r="C524" s="8"/>
    </row>
    <row r="525" spans="1:3" x14ac:dyDescent="0.2">
      <c r="A525" s="11"/>
      <c r="B525" s="8"/>
      <c r="C525" s="8"/>
    </row>
    <row r="526" spans="1:3" x14ac:dyDescent="0.2">
      <c r="A526" s="11"/>
      <c r="B526" s="8"/>
      <c r="C526" s="8"/>
    </row>
    <row r="527" spans="1:3" x14ac:dyDescent="0.2">
      <c r="A527" s="11"/>
      <c r="B527" s="8"/>
      <c r="C527" s="8"/>
    </row>
    <row r="528" spans="1:3" x14ac:dyDescent="0.2">
      <c r="A528" s="11"/>
      <c r="B528" s="8"/>
      <c r="C528" s="8"/>
    </row>
    <row r="529" spans="1:3" x14ac:dyDescent="0.2">
      <c r="A529" s="11"/>
      <c r="B529" s="8"/>
      <c r="C529" s="8"/>
    </row>
    <row r="530" spans="1:3" x14ac:dyDescent="0.2">
      <c r="A530" s="11"/>
      <c r="B530" s="8"/>
      <c r="C530" s="8"/>
    </row>
    <row r="531" spans="1:3" x14ac:dyDescent="0.2">
      <c r="A531" s="11"/>
      <c r="B531" s="8"/>
      <c r="C531" s="8"/>
    </row>
    <row r="532" spans="1:3" x14ac:dyDescent="0.2">
      <c r="A532" s="11"/>
      <c r="B532" s="8"/>
      <c r="C532" s="8"/>
    </row>
    <row r="533" spans="1:3" x14ac:dyDescent="0.2">
      <c r="A533" s="11"/>
      <c r="B533" s="8"/>
      <c r="C533" s="8"/>
    </row>
    <row r="534" spans="1:3" x14ac:dyDescent="0.2">
      <c r="A534" s="11"/>
      <c r="B534" s="8"/>
      <c r="C534" s="8"/>
    </row>
    <row r="535" spans="1:3" x14ac:dyDescent="0.2">
      <c r="A535" s="11"/>
      <c r="B535" s="8"/>
      <c r="C535" s="8"/>
    </row>
    <row r="536" spans="1:3" x14ac:dyDescent="0.2">
      <c r="A536" s="11"/>
      <c r="B536" s="8"/>
      <c r="C536" s="8"/>
    </row>
    <row r="537" spans="1:3" x14ac:dyDescent="0.2">
      <c r="A537" s="11"/>
      <c r="B537" s="8"/>
      <c r="C537" s="8"/>
    </row>
    <row r="538" spans="1:3" x14ac:dyDescent="0.2">
      <c r="A538" s="11"/>
      <c r="B538" s="8"/>
      <c r="C538" s="8"/>
    </row>
    <row r="539" spans="1:3" x14ac:dyDescent="0.2">
      <c r="A539" s="11"/>
      <c r="B539" s="8"/>
      <c r="C539" s="8"/>
    </row>
    <row r="540" spans="1:3" x14ac:dyDescent="0.2">
      <c r="A540" s="11"/>
      <c r="B540" s="8"/>
      <c r="C540" s="8"/>
    </row>
    <row r="541" spans="1:3" x14ac:dyDescent="0.2">
      <c r="A541" s="11"/>
      <c r="B541" s="8"/>
      <c r="C541" s="8"/>
    </row>
    <row r="542" spans="1:3" x14ac:dyDescent="0.2">
      <c r="A542" s="11"/>
      <c r="B542" s="8"/>
      <c r="C542" s="8"/>
    </row>
    <row r="543" spans="1:3" x14ac:dyDescent="0.2">
      <c r="A543" s="11"/>
      <c r="B543" s="8"/>
      <c r="C543" s="8"/>
    </row>
    <row r="544" spans="1:3" x14ac:dyDescent="0.2">
      <c r="A544" s="11"/>
      <c r="B544" s="8"/>
      <c r="C544" s="8"/>
    </row>
    <row r="545" spans="1:3" x14ac:dyDescent="0.2">
      <c r="A545" s="11"/>
      <c r="B545" s="8"/>
      <c r="C545" s="8"/>
    </row>
    <row r="546" spans="1:3" x14ac:dyDescent="0.2">
      <c r="A546" s="11"/>
      <c r="B546" s="8"/>
      <c r="C546" s="8"/>
    </row>
    <row r="547" spans="1:3" x14ac:dyDescent="0.2">
      <c r="A547" s="11"/>
      <c r="B547" s="8"/>
      <c r="C547" s="8"/>
    </row>
    <row r="548" spans="1:3" x14ac:dyDescent="0.2">
      <c r="A548" s="11"/>
      <c r="B548" s="8"/>
      <c r="C548" s="8"/>
    </row>
    <row r="549" spans="1:3" x14ac:dyDescent="0.2">
      <c r="A549" s="11"/>
      <c r="B549" s="8"/>
      <c r="C549" s="8"/>
    </row>
    <row r="550" spans="1:3" x14ac:dyDescent="0.2">
      <c r="A550" s="11"/>
      <c r="B550" s="8"/>
      <c r="C550" s="8"/>
    </row>
    <row r="551" spans="1:3" x14ac:dyDescent="0.2">
      <c r="A551" s="11"/>
      <c r="B551" s="8"/>
      <c r="C551" s="8"/>
    </row>
    <row r="552" spans="1:3" x14ac:dyDescent="0.2">
      <c r="A552" s="11"/>
      <c r="B552" s="8"/>
      <c r="C552" s="8"/>
    </row>
    <row r="553" spans="1:3" x14ac:dyDescent="0.2">
      <c r="A553" s="11"/>
      <c r="B553" s="8"/>
      <c r="C553" s="8"/>
    </row>
    <row r="554" spans="1:3" x14ac:dyDescent="0.2">
      <c r="A554" s="11"/>
      <c r="B554" s="8"/>
      <c r="C554" s="8"/>
    </row>
    <row r="555" spans="1:3" x14ac:dyDescent="0.2">
      <c r="A555" s="11"/>
      <c r="B555" s="8"/>
      <c r="C555" s="8"/>
    </row>
    <row r="556" spans="1:3" x14ac:dyDescent="0.2">
      <c r="A556" s="11"/>
      <c r="B556" s="8"/>
      <c r="C556" s="8"/>
    </row>
    <row r="557" spans="1:3" x14ac:dyDescent="0.2">
      <c r="A557" s="11"/>
      <c r="B557" s="8"/>
      <c r="C557" s="8"/>
    </row>
    <row r="558" spans="1:3" x14ac:dyDescent="0.2">
      <c r="A558" s="11"/>
      <c r="B558" s="8"/>
      <c r="C558" s="8"/>
    </row>
    <row r="559" spans="1:3" x14ac:dyDescent="0.2">
      <c r="A559" s="11"/>
      <c r="B559" s="8"/>
      <c r="C559" s="8"/>
    </row>
    <row r="560" spans="1:3" x14ac:dyDescent="0.2">
      <c r="A560" s="11"/>
      <c r="B560" s="8"/>
      <c r="C560" s="8"/>
    </row>
    <row r="561" spans="1:3" x14ac:dyDescent="0.2">
      <c r="A561" s="11"/>
      <c r="B561" s="8"/>
      <c r="C561" s="8"/>
    </row>
    <row r="562" spans="1:3" x14ac:dyDescent="0.2">
      <c r="A562" s="11"/>
      <c r="B562" s="8"/>
      <c r="C562" s="8"/>
    </row>
    <row r="563" spans="1:3" x14ac:dyDescent="0.2">
      <c r="A563" s="11"/>
      <c r="B563" s="8"/>
      <c r="C563" s="8"/>
    </row>
    <row r="564" spans="1:3" x14ac:dyDescent="0.2">
      <c r="A564" s="11"/>
      <c r="B564" s="8"/>
      <c r="C564" s="8"/>
    </row>
    <row r="565" spans="1:3" x14ac:dyDescent="0.2">
      <c r="A565" s="11"/>
      <c r="B565" s="8"/>
      <c r="C565" s="8"/>
    </row>
    <row r="566" spans="1:3" x14ac:dyDescent="0.2">
      <c r="A566" s="11"/>
      <c r="B566" s="8"/>
      <c r="C566" s="8"/>
    </row>
    <row r="567" spans="1:3" x14ac:dyDescent="0.2">
      <c r="A567" s="11"/>
      <c r="B567" s="8"/>
      <c r="C567" s="8"/>
    </row>
    <row r="568" spans="1:3" x14ac:dyDescent="0.2">
      <c r="A568" s="11"/>
      <c r="B568" s="8"/>
      <c r="C568" s="8"/>
    </row>
    <row r="569" spans="1:3" x14ac:dyDescent="0.2">
      <c r="A569" s="11"/>
      <c r="B569" s="8"/>
      <c r="C569" s="8"/>
    </row>
    <row r="570" spans="1:3" x14ac:dyDescent="0.2">
      <c r="A570" s="11"/>
      <c r="B570" s="8"/>
      <c r="C570" s="8"/>
    </row>
    <row r="571" spans="1:3" x14ac:dyDescent="0.2">
      <c r="A571" s="11"/>
      <c r="B571" s="8"/>
      <c r="C571" s="8"/>
    </row>
    <row r="572" spans="1:3" x14ac:dyDescent="0.2">
      <c r="A572" s="11"/>
      <c r="B572" s="8"/>
      <c r="C572" s="8"/>
    </row>
    <row r="573" spans="1:3" x14ac:dyDescent="0.2">
      <c r="A573" s="11"/>
      <c r="B573" s="8"/>
      <c r="C573" s="8"/>
    </row>
    <row r="574" spans="1:3" x14ac:dyDescent="0.2">
      <c r="A574" s="11"/>
      <c r="B574" s="8"/>
      <c r="C574" s="8"/>
    </row>
    <row r="575" spans="1:3" x14ac:dyDescent="0.2">
      <c r="A575" s="11"/>
      <c r="B575" s="8"/>
      <c r="C575" s="8"/>
    </row>
    <row r="576" spans="1:3" x14ac:dyDescent="0.2">
      <c r="A576" s="11"/>
      <c r="B576" s="8"/>
      <c r="C576" s="8"/>
    </row>
    <row r="577" spans="1:3" x14ac:dyDescent="0.2">
      <c r="A577" s="11"/>
      <c r="B577" s="8"/>
      <c r="C577" s="8"/>
    </row>
    <row r="578" spans="1:3" x14ac:dyDescent="0.2">
      <c r="A578" s="11"/>
      <c r="B578" s="8"/>
      <c r="C578" s="8"/>
    </row>
    <row r="579" spans="1:3" x14ac:dyDescent="0.2">
      <c r="A579" s="11"/>
      <c r="B579" s="8"/>
      <c r="C579" s="8"/>
    </row>
    <row r="580" spans="1:3" x14ac:dyDescent="0.2">
      <c r="A580" s="11"/>
      <c r="B580" s="8"/>
      <c r="C580" s="8"/>
    </row>
    <row r="581" spans="1:3" x14ac:dyDescent="0.2">
      <c r="A581" s="11"/>
      <c r="B581" s="8"/>
      <c r="C581" s="8"/>
    </row>
    <row r="582" spans="1:3" x14ac:dyDescent="0.2">
      <c r="A582" s="11"/>
      <c r="B582" s="8"/>
      <c r="C582" s="8"/>
    </row>
    <row r="583" spans="1:3" x14ac:dyDescent="0.2">
      <c r="A583" s="11"/>
      <c r="B583" s="8"/>
      <c r="C583" s="8"/>
    </row>
    <row r="584" spans="1:3" x14ac:dyDescent="0.2">
      <c r="A584" s="11"/>
      <c r="B584" s="8"/>
      <c r="C584" s="8"/>
    </row>
    <row r="585" spans="1:3" x14ac:dyDescent="0.2">
      <c r="A585" s="11"/>
      <c r="B585" s="8"/>
      <c r="C585" s="8"/>
    </row>
    <row r="586" spans="1:3" x14ac:dyDescent="0.2">
      <c r="A586" s="11"/>
      <c r="B586" s="8"/>
      <c r="C586" s="8"/>
    </row>
    <row r="587" spans="1:3" x14ac:dyDescent="0.2">
      <c r="A587" s="11"/>
      <c r="B587" s="8"/>
      <c r="C587" s="8"/>
    </row>
    <row r="588" spans="1:3" x14ac:dyDescent="0.2">
      <c r="A588" s="11"/>
      <c r="B588" s="8"/>
      <c r="C588" s="8"/>
    </row>
    <row r="589" spans="1:3" x14ac:dyDescent="0.2">
      <c r="A589" s="11"/>
      <c r="B589" s="8"/>
      <c r="C589" s="8"/>
    </row>
    <row r="590" spans="1:3" x14ac:dyDescent="0.2">
      <c r="A590" s="11"/>
      <c r="B590" s="8"/>
      <c r="C590" s="8"/>
    </row>
    <row r="591" spans="1:3" x14ac:dyDescent="0.2">
      <c r="A591" s="11"/>
      <c r="B591" s="8"/>
      <c r="C591" s="8"/>
    </row>
    <row r="592" spans="1:3" x14ac:dyDescent="0.2">
      <c r="A592" s="11"/>
      <c r="B592" s="8"/>
      <c r="C592" s="8"/>
    </row>
    <row r="593" spans="1:3" x14ac:dyDescent="0.2">
      <c r="A593" s="11"/>
      <c r="B593" s="8"/>
      <c r="C593" s="8"/>
    </row>
    <row r="594" spans="1:3" x14ac:dyDescent="0.2">
      <c r="A594" s="11"/>
      <c r="B594" s="8"/>
      <c r="C594" s="8"/>
    </row>
    <row r="595" spans="1:3" x14ac:dyDescent="0.2">
      <c r="A595" s="11"/>
      <c r="B595" s="8"/>
      <c r="C595" s="8"/>
    </row>
    <row r="596" spans="1:3" x14ac:dyDescent="0.2">
      <c r="A596" s="11"/>
      <c r="B596" s="8"/>
      <c r="C596" s="8"/>
    </row>
    <row r="597" spans="1:3" x14ac:dyDescent="0.2">
      <c r="A597" s="11"/>
      <c r="B597" s="8"/>
      <c r="C597" s="8"/>
    </row>
    <row r="598" spans="1:3" x14ac:dyDescent="0.2">
      <c r="A598" s="11"/>
      <c r="B598" s="8"/>
      <c r="C598" s="8"/>
    </row>
    <row r="599" spans="1:3" x14ac:dyDescent="0.2">
      <c r="A599" s="11"/>
      <c r="B599" s="8"/>
      <c r="C599" s="8"/>
    </row>
    <row r="600" spans="1:3" x14ac:dyDescent="0.2">
      <c r="A600" s="11"/>
      <c r="B600" s="8"/>
      <c r="C600" s="8"/>
    </row>
    <row r="601" spans="1:3" x14ac:dyDescent="0.2">
      <c r="A601" s="11"/>
      <c r="B601" s="8"/>
      <c r="C601" s="8"/>
    </row>
    <row r="602" spans="1:3" x14ac:dyDescent="0.2">
      <c r="A602" s="11"/>
      <c r="B602" s="8"/>
      <c r="C602" s="8"/>
    </row>
    <row r="603" spans="1:3" x14ac:dyDescent="0.2">
      <c r="A603" s="11"/>
      <c r="B603" s="8"/>
      <c r="C603" s="8"/>
    </row>
    <row r="604" spans="1:3" x14ac:dyDescent="0.2">
      <c r="A604" s="11"/>
      <c r="B604" s="8"/>
      <c r="C604" s="8"/>
    </row>
    <row r="605" spans="1:3" x14ac:dyDescent="0.2">
      <c r="A605" s="11"/>
      <c r="B605" s="8"/>
      <c r="C605" s="8"/>
    </row>
    <row r="606" spans="1:3" x14ac:dyDescent="0.2">
      <c r="A606" s="11"/>
      <c r="B606" s="8"/>
      <c r="C606" s="8"/>
    </row>
    <row r="607" spans="1:3" x14ac:dyDescent="0.2">
      <c r="A607" s="11"/>
      <c r="B607" s="8"/>
      <c r="C607" s="8"/>
    </row>
    <row r="608" spans="1:3" x14ac:dyDescent="0.2">
      <c r="A608" s="11"/>
      <c r="B608" s="8"/>
      <c r="C608" s="8"/>
    </row>
    <row r="609" spans="1:3" x14ac:dyDescent="0.2">
      <c r="A609" s="11"/>
      <c r="B609" s="8"/>
      <c r="C609" s="8"/>
    </row>
    <row r="610" spans="1:3" x14ac:dyDescent="0.2">
      <c r="A610" s="11"/>
      <c r="B610" s="8"/>
      <c r="C610" s="8"/>
    </row>
    <row r="611" spans="1:3" x14ac:dyDescent="0.2">
      <c r="A611" s="11"/>
      <c r="B611" s="8"/>
      <c r="C611" s="8"/>
    </row>
    <row r="612" spans="1:3" x14ac:dyDescent="0.2">
      <c r="A612" s="11"/>
      <c r="B612" s="8"/>
      <c r="C612" s="8"/>
    </row>
    <row r="613" spans="1:3" x14ac:dyDescent="0.2">
      <c r="A613" s="11"/>
      <c r="B613" s="8"/>
      <c r="C613" s="8"/>
    </row>
    <row r="614" spans="1:3" x14ac:dyDescent="0.2">
      <c r="A614" s="11"/>
      <c r="B614" s="8"/>
      <c r="C614" s="8"/>
    </row>
    <row r="615" spans="1:3" x14ac:dyDescent="0.2">
      <c r="A615" s="11"/>
      <c r="B615" s="8"/>
      <c r="C615" s="8"/>
    </row>
    <row r="616" spans="1:3" x14ac:dyDescent="0.2">
      <c r="A616" s="11"/>
      <c r="B616" s="8"/>
      <c r="C616" s="8"/>
    </row>
    <row r="617" spans="1:3" x14ac:dyDescent="0.2">
      <c r="A617" s="11"/>
      <c r="B617" s="8"/>
      <c r="C617" s="8"/>
    </row>
    <row r="618" spans="1:3" x14ac:dyDescent="0.2">
      <c r="A618" s="11"/>
      <c r="B618" s="8"/>
      <c r="C618" s="8"/>
    </row>
    <row r="619" spans="1:3" x14ac:dyDescent="0.2">
      <c r="A619" s="11"/>
      <c r="B619" s="8"/>
      <c r="C619" s="8"/>
    </row>
    <row r="620" spans="1:3" x14ac:dyDescent="0.2">
      <c r="A620" s="11"/>
      <c r="B620" s="8"/>
      <c r="C620" s="8"/>
    </row>
    <row r="621" spans="1:3" x14ac:dyDescent="0.2">
      <c r="A621" s="11"/>
      <c r="B621" s="8"/>
      <c r="C621" s="8"/>
    </row>
    <row r="622" spans="1:3" x14ac:dyDescent="0.2">
      <c r="A622" s="11"/>
      <c r="B622" s="8"/>
      <c r="C622" s="8"/>
    </row>
    <row r="623" spans="1:3" x14ac:dyDescent="0.2">
      <c r="A623" s="11"/>
      <c r="B623" s="8"/>
      <c r="C623" s="8"/>
    </row>
    <row r="624" spans="1:3" x14ac:dyDescent="0.2">
      <c r="A624" s="11"/>
      <c r="B624" s="8"/>
      <c r="C624" s="8"/>
    </row>
    <row r="625" spans="1:3" x14ac:dyDescent="0.2">
      <c r="A625" s="11"/>
      <c r="B625" s="8"/>
      <c r="C625" s="8"/>
    </row>
    <row r="626" spans="1:3" x14ac:dyDescent="0.2">
      <c r="A626" s="11"/>
      <c r="B626" s="8"/>
      <c r="C626" s="8"/>
    </row>
    <row r="627" spans="1:3" x14ac:dyDescent="0.2">
      <c r="A627" s="11"/>
      <c r="B627" s="8"/>
      <c r="C627" s="8"/>
    </row>
    <row r="628" spans="1:3" x14ac:dyDescent="0.2">
      <c r="A628" s="11"/>
      <c r="B628" s="8"/>
      <c r="C628" s="8"/>
    </row>
    <row r="629" spans="1:3" x14ac:dyDescent="0.2">
      <c r="A629" s="11"/>
      <c r="B629" s="8"/>
      <c r="C629" s="8"/>
    </row>
    <row r="630" spans="1:3" x14ac:dyDescent="0.2">
      <c r="A630" s="11"/>
      <c r="B630" s="8"/>
      <c r="C630" s="8"/>
    </row>
    <row r="631" spans="1:3" x14ac:dyDescent="0.2">
      <c r="A631" s="11"/>
      <c r="B631" s="8"/>
      <c r="C631" s="8"/>
    </row>
    <row r="632" spans="1:3" x14ac:dyDescent="0.2">
      <c r="A632" s="11"/>
      <c r="B632" s="8"/>
      <c r="C632" s="8"/>
    </row>
    <row r="633" spans="1:3" x14ac:dyDescent="0.2">
      <c r="A633" s="11"/>
      <c r="B633" s="8"/>
      <c r="C633" s="8"/>
    </row>
    <row r="634" spans="1:3" x14ac:dyDescent="0.2">
      <c r="A634" s="11"/>
      <c r="B634" s="8"/>
      <c r="C634" s="8"/>
    </row>
    <row r="635" spans="1:3" x14ac:dyDescent="0.2">
      <c r="A635" s="11"/>
      <c r="B635" s="8"/>
      <c r="C635" s="8"/>
    </row>
    <row r="636" spans="1:3" x14ac:dyDescent="0.2">
      <c r="A636" s="11"/>
      <c r="B636" s="8"/>
      <c r="C636" s="8"/>
    </row>
    <row r="637" spans="1:3" x14ac:dyDescent="0.2">
      <c r="A637" s="11"/>
      <c r="B637" s="8"/>
      <c r="C637" s="8"/>
    </row>
    <row r="638" spans="1:3" x14ac:dyDescent="0.2">
      <c r="A638" s="11"/>
      <c r="B638" s="8"/>
      <c r="C638" s="8"/>
    </row>
    <row r="639" spans="1:3" x14ac:dyDescent="0.2">
      <c r="A639" s="11"/>
      <c r="B639" s="8"/>
      <c r="C639" s="8"/>
    </row>
    <row r="640" spans="1:3" x14ac:dyDescent="0.2">
      <c r="A640" s="11"/>
      <c r="B640" s="8"/>
      <c r="C640" s="8"/>
    </row>
    <row r="641" spans="1:3" x14ac:dyDescent="0.2">
      <c r="A641" s="11"/>
      <c r="B641" s="8"/>
      <c r="C641" s="8"/>
    </row>
    <row r="642" spans="1:3" x14ac:dyDescent="0.2">
      <c r="A642" s="11"/>
      <c r="B642" s="8"/>
      <c r="C642" s="8"/>
    </row>
    <row r="643" spans="1:3" x14ac:dyDescent="0.2">
      <c r="A643" s="11"/>
      <c r="B643" s="8"/>
      <c r="C643" s="8"/>
    </row>
    <row r="644" spans="1:3" x14ac:dyDescent="0.2">
      <c r="A644" s="11"/>
      <c r="B644" s="8"/>
      <c r="C644" s="8"/>
    </row>
    <row r="645" spans="1:3" x14ac:dyDescent="0.2">
      <c r="A645" s="11"/>
      <c r="B645" s="8"/>
      <c r="C645" s="8"/>
    </row>
    <row r="646" spans="1:3" x14ac:dyDescent="0.2">
      <c r="A646" s="11"/>
      <c r="B646" s="8"/>
      <c r="C646" s="8"/>
    </row>
    <row r="647" spans="1:3" x14ac:dyDescent="0.2">
      <c r="A647" s="11"/>
      <c r="B647" s="8"/>
      <c r="C647" s="8"/>
    </row>
    <row r="648" spans="1:3" x14ac:dyDescent="0.2">
      <c r="A648" s="11"/>
      <c r="B648" s="8"/>
      <c r="C648" s="8"/>
    </row>
    <row r="649" spans="1:3" x14ac:dyDescent="0.2">
      <c r="A649" s="11"/>
      <c r="B649" s="8"/>
      <c r="C649" s="8"/>
    </row>
    <row r="650" spans="1:3" x14ac:dyDescent="0.2">
      <c r="A650" s="11"/>
      <c r="B650" s="8"/>
      <c r="C650" s="8"/>
    </row>
    <row r="651" spans="1:3" x14ac:dyDescent="0.2">
      <c r="A651" s="11"/>
      <c r="B651" s="8"/>
      <c r="C651" s="8"/>
    </row>
    <row r="652" spans="1:3" x14ac:dyDescent="0.2">
      <c r="A652" s="11"/>
      <c r="B652" s="8"/>
      <c r="C652" s="8"/>
    </row>
    <row r="653" spans="1:3" x14ac:dyDescent="0.2">
      <c r="A653" s="11"/>
      <c r="B653" s="8"/>
      <c r="C653" s="8"/>
    </row>
    <row r="654" spans="1:3" x14ac:dyDescent="0.2">
      <c r="A654" s="11"/>
      <c r="B654" s="8"/>
      <c r="C654" s="8"/>
    </row>
    <row r="655" spans="1:3" x14ac:dyDescent="0.2">
      <c r="A655" s="11"/>
      <c r="B655" s="8"/>
      <c r="C655" s="8"/>
    </row>
    <row r="656" spans="1:3" x14ac:dyDescent="0.2">
      <c r="A656" s="11"/>
      <c r="B656" s="8"/>
      <c r="C656" s="8"/>
    </row>
    <row r="657" spans="1:3" x14ac:dyDescent="0.2">
      <c r="A657" s="11"/>
      <c r="B657" s="8"/>
      <c r="C657" s="8"/>
    </row>
    <row r="658" spans="1:3" x14ac:dyDescent="0.2">
      <c r="A658" s="11"/>
      <c r="B658" s="8"/>
      <c r="C658" s="8"/>
    </row>
    <row r="659" spans="1:3" x14ac:dyDescent="0.2">
      <c r="A659" s="11"/>
      <c r="B659" s="8"/>
      <c r="C659" s="8"/>
    </row>
    <row r="660" spans="1:3" x14ac:dyDescent="0.2">
      <c r="A660" s="11"/>
      <c r="B660" s="8"/>
      <c r="C660" s="8"/>
    </row>
    <row r="661" spans="1:3" x14ac:dyDescent="0.2">
      <c r="A661" s="11"/>
      <c r="B661" s="8"/>
      <c r="C661" s="8"/>
    </row>
    <row r="662" spans="1:3" x14ac:dyDescent="0.2">
      <c r="A662" s="11"/>
      <c r="B662" s="8"/>
      <c r="C662" s="8"/>
    </row>
    <row r="663" spans="1:3" x14ac:dyDescent="0.2">
      <c r="A663" s="11"/>
      <c r="B663" s="8"/>
      <c r="C663" s="8"/>
    </row>
    <row r="664" spans="1:3" x14ac:dyDescent="0.2">
      <c r="A664" s="11"/>
      <c r="B664" s="8"/>
      <c r="C664" s="8"/>
    </row>
    <row r="665" spans="1:3" x14ac:dyDescent="0.2">
      <c r="A665" s="11"/>
      <c r="B665" s="8"/>
      <c r="C665" s="8"/>
    </row>
    <row r="666" spans="1:3" x14ac:dyDescent="0.2">
      <c r="A666" s="11"/>
      <c r="B666" s="8"/>
      <c r="C666" s="8"/>
    </row>
    <row r="667" spans="1:3" x14ac:dyDescent="0.2">
      <c r="A667" s="11"/>
      <c r="B667" s="8"/>
      <c r="C667" s="8"/>
    </row>
    <row r="668" spans="1:3" x14ac:dyDescent="0.2">
      <c r="A668" s="11"/>
      <c r="B668" s="8"/>
      <c r="C668" s="8"/>
    </row>
    <row r="669" spans="1:3" x14ac:dyDescent="0.2">
      <c r="A669" s="11"/>
      <c r="B669" s="8"/>
      <c r="C669" s="8"/>
    </row>
    <row r="670" spans="1:3" x14ac:dyDescent="0.2">
      <c r="A670" s="11"/>
      <c r="B670" s="8"/>
      <c r="C670" s="8"/>
    </row>
    <row r="671" spans="1:3" x14ac:dyDescent="0.2">
      <c r="A671" s="11"/>
      <c r="B671" s="8"/>
      <c r="C671" s="8"/>
    </row>
    <row r="672" spans="1:3" x14ac:dyDescent="0.2">
      <c r="A672" s="11"/>
      <c r="B672" s="8"/>
      <c r="C672" s="8"/>
    </row>
    <row r="673" spans="1:3" x14ac:dyDescent="0.2">
      <c r="A673" s="11"/>
      <c r="B673" s="8"/>
      <c r="C673" s="8"/>
    </row>
    <row r="674" spans="1:3" x14ac:dyDescent="0.2">
      <c r="A674" s="11"/>
      <c r="B674" s="8"/>
      <c r="C674" s="8"/>
    </row>
    <row r="675" spans="1:3" x14ac:dyDescent="0.2">
      <c r="A675" s="11"/>
      <c r="B675" s="8"/>
      <c r="C675" s="8"/>
    </row>
    <row r="676" spans="1:3" x14ac:dyDescent="0.2">
      <c r="A676" s="11"/>
      <c r="B676" s="8"/>
      <c r="C676" s="8"/>
    </row>
    <row r="677" spans="1:3" x14ac:dyDescent="0.2">
      <c r="A677" s="11"/>
      <c r="B677" s="8"/>
      <c r="C677" s="8"/>
    </row>
    <row r="678" spans="1:3" x14ac:dyDescent="0.2">
      <c r="A678" s="11"/>
      <c r="B678" s="8"/>
      <c r="C678" s="8"/>
    </row>
    <row r="679" spans="1:3" x14ac:dyDescent="0.2">
      <c r="A679" s="11"/>
      <c r="B679" s="8"/>
      <c r="C679" s="8"/>
    </row>
    <row r="680" spans="1:3" x14ac:dyDescent="0.2">
      <c r="A680" s="11"/>
      <c r="B680" s="8"/>
      <c r="C680" s="8"/>
    </row>
    <row r="681" spans="1:3" x14ac:dyDescent="0.2">
      <c r="A681" s="11"/>
      <c r="B681" s="8"/>
      <c r="C681" s="8"/>
    </row>
    <row r="682" spans="1:3" x14ac:dyDescent="0.2">
      <c r="A682" s="11"/>
      <c r="B682" s="8"/>
      <c r="C682" s="8"/>
    </row>
    <row r="683" spans="1:3" x14ac:dyDescent="0.2">
      <c r="A683" s="11"/>
      <c r="B683" s="8"/>
      <c r="C683" s="8"/>
    </row>
    <row r="684" spans="1:3" x14ac:dyDescent="0.2">
      <c r="A684" s="11"/>
      <c r="B684" s="8"/>
      <c r="C684" s="8"/>
    </row>
    <row r="685" spans="1:3" x14ac:dyDescent="0.2">
      <c r="A685" s="11"/>
      <c r="B685" s="8"/>
      <c r="C685" s="8"/>
    </row>
    <row r="686" spans="1:3" x14ac:dyDescent="0.2">
      <c r="A686" s="11"/>
      <c r="B686" s="8"/>
      <c r="C686" s="8"/>
    </row>
    <row r="687" spans="1:3" x14ac:dyDescent="0.2">
      <c r="A687" s="11"/>
      <c r="B687" s="8"/>
      <c r="C687" s="8"/>
    </row>
    <row r="688" spans="1:3" x14ac:dyDescent="0.2">
      <c r="A688" s="11"/>
      <c r="B688" s="8"/>
      <c r="C688" s="8"/>
    </row>
    <row r="689" spans="1:3" x14ac:dyDescent="0.2">
      <c r="A689" s="11"/>
      <c r="B689" s="8"/>
      <c r="C689" s="8"/>
    </row>
    <row r="690" spans="1:3" x14ac:dyDescent="0.2">
      <c r="A690" s="11"/>
      <c r="B690" s="8"/>
      <c r="C690" s="8"/>
    </row>
    <row r="691" spans="1:3" x14ac:dyDescent="0.2">
      <c r="A691" s="11"/>
      <c r="B691" s="8"/>
      <c r="C691" s="8"/>
    </row>
    <row r="692" spans="1:3" x14ac:dyDescent="0.2">
      <c r="A692" s="11"/>
      <c r="B692" s="8"/>
      <c r="C692" s="8"/>
    </row>
    <row r="693" spans="1:3" x14ac:dyDescent="0.2">
      <c r="A693" s="11"/>
      <c r="B693" s="8"/>
      <c r="C693" s="8"/>
    </row>
    <row r="694" spans="1:3" x14ac:dyDescent="0.2">
      <c r="A694" s="11"/>
      <c r="B694" s="8"/>
      <c r="C694" s="8"/>
    </row>
    <row r="695" spans="1:3" x14ac:dyDescent="0.2">
      <c r="A695" s="11"/>
      <c r="B695" s="8"/>
      <c r="C695" s="8"/>
    </row>
    <row r="696" spans="1:3" x14ac:dyDescent="0.2">
      <c r="A696" s="11"/>
      <c r="B696" s="8"/>
      <c r="C696" s="8"/>
    </row>
    <row r="697" spans="1:3" x14ac:dyDescent="0.2">
      <c r="A697" s="11"/>
      <c r="B697" s="8"/>
      <c r="C697" s="8"/>
    </row>
    <row r="698" spans="1:3" x14ac:dyDescent="0.2">
      <c r="A698" s="11"/>
      <c r="B698" s="8"/>
      <c r="C698" s="8"/>
    </row>
    <row r="699" spans="1:3" x14ac:dyDescent="0.2">
      <c r="A699" s="11"/>
      <c r="B699" s="8"/>
      <c r="C699" s="8"/>
    </row>
    <row r="700" spans="1:3" x14ac:dyDescent="0.2">
      <c r="A700" s="11"/>
      <c r="B700" s="8"/>
      <c r="C700" s="8"/>
    </row>
    <row r="701" spans="1:3" x14ac:dyDescent="0.2">
      <c r="A701" s="11"/>
      <c r="B701" s="8"/>
      <c r="C701" s="8"/>
    </row>
    <row r="702" spans="1:3" x14ac:dyDescent="0.2">
      <c r="A702" s="11"/>
      <c r="B702" s="8"/>
      <c r="C702" s="8"/>
    </row>
    <row r="703" spans="1:3" x14ac:dyDescent="0.2">
      <c r="A703" s="11"/>
      <c r="B703" s="8"/>
      <c r="C703" s="8"/>
    </row>
    <row r="704" spans="1:3" x14ac:dyDescent="0.2">
      <c r="A704" s="11"/>
      <c r="B704" s="8"/>
      <c r="C704" s="8"/>
    </row>
    <row r="705" spans="1:3" x14ac:dyDescent="0.2">
      <c r="A705" s="11"/>
      <c r="B705" s="8"/>
      <c r="C705" s="8"/>
    </row>
    <row r="706" spans="1:3" x14ac:dyDescent="0.2">
      <c r="A706" s="11"/>
      <c r="B706" s="8"/>
      <c r="C706" s="8"/>
    </row>
    <row r="707" spans="1:3" x14ac:dyDescent="0.2">
      <c r="A707" s="11"/>
      <c r="B707" s="8"/>
      <c r="C707" s="8"/>
    </row>
    <row r="708" spans="1:3" x14ac:dyDescent="0.2">
      <c r="A708" s="11"/>
      <c r="B708" s="8"/>
      <c r="C708" s="8"/>
    </row>
    <row r="709" spans="1:3" x14ac:dyDescent="0.2">
      <c r="A709" s="11"/>
      <c r="B709" s="8"/>
      <c r="C709" s="8"/>
    </row>
    <row r="710" spans="1:3" x14ac:dyDescent="0.2">
      <c r="A710" s="11"/>
      <c r="B710" s="8"/>
      <c r="C710" s="8"/>
    </row>
    <row r="711" spans="1:3" x14ac:dyDescent="0.2">
      <c r="A711" s="11"/>
      <c r="B711" s="8"/>
      <c r="C711" s="8"/>
    </row>
    <row r="712" spans="1:3" x14ac:dyDescent="0.2">
      <c r="A712" s="11"/>
      <c r="B712" s="8"/>
      <c r="C712" s="8"/>
    </row>
    <row r="713" spans="1:3" x14ac:dyDescent="0.2">
      <c r="A713" s="11"/>
      <c r="B713" s="8"/>
      <c r="C713" s="8"/>
    </row>
    <row r="714" spans="1:3" x14ac:dyDescent="0.2">
      <c r="A714" s="11"/>
      <c r="B714" s="8"/>
      <c r="C714" s="8"/>
    </row>
    <row r="715" spans="1:3" x14ac:dyDescent="0.2">
      <c r="A715" s="11"/>
      <c r="B715" s="8"/>
      <c r="C715" s="8"/>
    </row>
    <row r="716" spans="1:3" x14ac:dyDescent="0.2">
      <c r="A716" s="11"/>
      <c r="B716" s="8"/>
      <c r="C716" s="8"/>
    </row>
    <row r="717" spans="1:3" x14ac:dyDescent="0.2">
      <c r="A717" s="11"/>
      <c r="B717" s="8"/>
      <c r="C717" s="8"/>
    </row>
    <row r="718" spans="1:3" x14ac:dyDescent="0.2">
      <c r="A718" s="11"/>
      <c r="B718" s="8"/>
      <c r="C718" s="8"/>
    </row>
    <row r="719" spans="1:3" x14ac:dyDescent="0.2">
      <c r="A719" s="11"/>
      <c r="B719" s="8"/>
      <c r="C719" s="8"/>
    </row>
    <row r="720" spans="1:3" x14ac:dyDescent="0.2">
      <c r="A720" s="11"/>
      <c r="B720" s="8"/>
      <c r="C720" s="8"/>
    </row>
    <row r="721" spans="1:3" x14ac:dyDescent="0.2">
      <c r="A721" s="11"/>
      <c r="B721" s="8"/>
      <c r="C721" s="8"/>
    </row>
    <row r="722" spans="1:3" x14ac:dyDescent="0.2">
      <c r="A722" s="11"/>
      <c r="B722" s="8"/>
      <c r="C722" s="8"/>
    </row>
    <row r="723" spans="1:3" x14ac:dyDescent="0.2">
      <c r="A723" s="11"/>
      <c r="B723" s="8"/>
      <c r="C723" s="8"/>
    </row>
    <row r="724" spans="1:3" x14ac:dyDescent="0.2">
      <c r="A724" s="11"/>
      <c r="B724" s="8"/>
      <c r="C724" s="8"/>
    </row>
    <row r="725" spans="1:3" x14ac:dyDescent="0.2">
      <c r="A725" s="11"/>
      <c r="B725" s="8"/>
      <c r="C725" s="8"/>
    </row>
    <row r="726" spans="1:3" x14ac:dyDescent="0.2">
      <c r="A726" s="11"/>
      <c r="B726" s="8"/>
      <c r="C726" s="8"/>
    </row>
    <row r="727" spans="1:3" x14ac:dyDescent="0.2">
      <c r="A727" s="11"/>
      <c r="B727" s="8"/>
      <c r="C727" s="8"/>
    </row>
    <row r="728" spans="1:3" x14ac:dyDescent="0.2">
      <c r="A728" s="11"/>
      <c r="B728" s="8"/>
      <c r="C728" s="8"/>
    </row>
    <row r="729" spans="1:3" x14ac:dyDescent="0.2">
      <c r="A729" s="11"/>
      <c r="B729" s="8"/>
      <c r="C729" s="8"/>
    </row>
    <row r="730" spans="1:3" x14ac:dyDescent="0.2">
      <c r="A730" s="11"/>
      <c r="B730" s="8"/>
      <c r="C730" s="8"/>
    </row>
    <row r="731" spans="1:3" x14ac:dyDescent="0.2">
      <c r="A731" s="11"/>
      <c r="B731" s="8"/>
      <c r="C731" s="8"/>
    </row>
    <row r="732" spans="1:3" x14ac:dyDescent="0.2">
      <c r="A732" s="11"/>
      <c r="B732" s="8"/>
      <c r="C732" s="8"/>
    </row>
    <row r="733" spans="1:3" x14ac:dyDescent="0.2">
      <c r="A733" s="11"/>
      <c r="B733" s="8"/>
      <c r="C733" s="8"/>
    </row>
    <row r="734" spans="1:3" x14ac:dyDescent="0.2">
      <c r="A734" s="11"/>
      <c r="B734" s="8"/>
      <c r="C734" s="8"/>
    </row>
    <row r="735" spans="1:3" x14ac:dyDescent="0.2">
      <c r="A735" s="11"/>
      <c r="B735" s="8"/>
      <c r="C735" s="8"/>
    </row>
    <row r="736" spans="1:3" x14ac:dyDescent="0.2">
      <c r="A736" s="11"/>
      <c r="B736" s="8"/>
      <c r="C736" s="8"/>
    </row>
    <row r="737" spans="1:3" x14ac:dyDescent="0.2">
      <c r="A737" s="11"/>
      <c r="B737" s="8"/>
      <c r="C737" s="8"/>
    </row>
    <row r="738" spans="1:3" x14ac:dyDescent="0.2">
      <c r="A738" s="11"/>
      <c r="B738" s="8"/>
      <c r="C738" s="8"/>
    </row>
    <row r="739" spans="1:3" x14ac:dyDescent="0.2">
      <c r="A739" s="11"/>
      <c r="B739" s="8"/>
      <c r="C739" s="8"/>
    </row>
    <row r="740" spans="1:3" x14ac:dyDescent="0.2">
      <c r="A740" s="11"/>
      <c r="B740" s="8"/>
      <c r="C740" s="8"/>
    </row>
    <row r="741" spans="1:3" x14ac:dyDescent="0.2">
      <c r="A741" s="11"/>
      <c r="B741" s="8"/>
      <c r="C741" s="8"/>
    </row>
    <row r="742" spans="1:3" x14ac:dyDescent="0.2">
      <c r="A742" s="11"/>
      <c r="B742" s="8"/>
      <c r="C742" s="8"/>
    </row>
    <row r="743" spans="1:3" x14ac:dyDescent="0.2">
      <c r="A743" s="11"/>
      <c r="B743" s="8"/>
      <c r="C743" s="8"/>
    </row>
    <row r="744" spans="1:3" x14ac:dyDescent="0.2">
      <c r="A744" s="11"/>
      <c r="B744" s="8"/>
      <c r="C744" s="8"/>
    </row>
    <row r="745" spans="1:3" x14ac:dyDescent="0.2">
      <c r="A745" s="11"/>
      <c r="B745" s="8"/>
      <c r="C745" s="8"/>
    </row>
    <row r="746" spans="1:3" x14ac:dyDescent="0.2">
      <c r="A746" s="11"/>
      <c r="B746" s="8"/>
      <c r="C746" s="8"/>
    </row>
    <row r="747" spans="1:3" x14ac:dyDescent="0.2">
      <c r="A747" s="11"/>
      <c r="B747" s="8"/>
      <c r="C747" s="8"/>
    </row>
    <row r="748" spans="1:3" x14ac:dyDescent="0.2">
      <c r="A748" s="11"/>
      <c r="B748" s="8"/>
      <c r="C748" s="8"/>
    </row>
    <row r="749" spans="1:3" x14ac:dyDescent="0.2">
      <c r="A749" s="11"/>
      <c r="B749" s="8"/>
      <c r="C749" s="8"/>
    </row>
    <row r="750" spans="1:3" x14ac:dyDescent="0.2">
      <c r="A750" s="11"/>
      <c r="B750" s="8"/>
      <c r="C750" s="8"/>
    </row>
    <row r="751" spans="1:3" x14ac:dyDescent="0.2">
      <c r="A751" s="11"/>
      <c r="B751" s="8"/>
      <c r="C751" s="8"/>
    </row>
    <row r="752" spans="1:3" x14ac:dyDescent="0.2">
      <c r="A752" s="11"/>
      <c r="B752" s="8"/>
      <c r="C752" s="8"/>
    </row>
    <row r="753" spans="1:3" x14ac:dyDescent="0.2">
      <c r="A753" s="11"/>
      <c r="B753" s="8"/>
      <c r="C753" s="8"/>
    </row>
    <row r="754" spans="1:3" x14ac:dyDescent="0.2">
      <c r="A754" s="11"/>
      <c r="B754" s="8"/>
      <c r="C754" s="8"/>
    </row>
    <row r="755" spans="1:3" x14ac:dyDescent="0.2">
      <c r="A755" s="11"/>
      <c r="B755" s="8"/>
      <c r="C755" s="8"/>
    </row>
    <row r="756" spans="1:3" x14ac:dyDescent="0.2">
      <c r="A756" s="11"/>
      <c r="B756" s="8"/>
      <c r="C756" s="8"/>
    </row>
    <row r="757" spans="1:3" x14ac:dyDescent="0.2">
      <c r="A757" s="11"/>
      <c r="B757" s="8"/>
      <c r="C757" s="8"/>
    </row>
    <row r="758" spans="1:3" x14ac:dyDescent="0.2">
      <c r="A758" s="11"/>
      <c r="B758" s="8"/>
      <c r="C758" s="8"/>
    </row>
    <row r="759" spans="1:3" x14ac:dyDescent="0.2">
      <c r="A759" s="11"/>
      <c r="B759" s="8"/>
      <c r="C759" s="8"/>
    </row>
    <row r="760" spans="1:3" x14ac:dyDescent="0.2">
      <c r="A760" s="11"/>
      <c r="B760" s="8"/>
      <c r="C760" s="8"/>
    </row>
    <row r="761" spans="1:3" x14ac:dyDescent="0.2">
      <c r="A761" s="11"/>
      <c r="B761" s="8"/>
      <c r="C761" s="8"/>
    </row>
    <row r="762" spans="1:3" x14ac:dyDescent="0.2">
      <c r="A762" s="11"/>
      <c r="B762" s="8"/>
      <c r="C762" s="8"/>
    </row>
    <row r="763" spans="1:3" x14ac:dyDescent="0.2">
      <c r="A763" s="11"/>
      <c r="B763" s="8"/>
      <c r="C763" s="8"/>
    </row>
    <row r="764" spans="1:3" x14ac:dyDescent="0.2">
      <c r="A764" s="11"/>
      <c r="B764" s="8"/>
      <c r="C764" s="8"/>
    </row>
    <row r="765" spans="1:3" x14ac:dyDescent="0.2">
      <c r="A765" s="11"/>
      <c r="B765" s="8"/>
      <c r="C765" s="8"/>
    </row>
    <row r="766" spans="1:3" x14ac:dyDescent="0.2">
      <c r="A766" s="11"/>
      <c r="B766" s="8"/>
      <c r="C766" s="8"/>
    </row>
    <row r="767" spans="1:3" x14ac:dyDescent="0.2">
      <c r="A767" s="11"/>
      <c r="B767" s="8"/>
      <c r="C767" s="8"/>
    </row>
    <row r="768" spans="1:3" x14ac:dyDescent="0.2">
      <c r="A768" s="11"/>
      <c r="B768" s="8"/>
      <c r="C768" s="8"/>
    </row>
    <row r="769" spans="1:3" x14ac:dyDescent="0.2">
      <c r="A769" s="11"/>
      <c r="B769" s="8"/>
      <c r="C769" s="8"/>
    </row>
    <row r="770" spans="1:3" x14ac:dyDescent="0.2">
      <c r="A770" s="11"/>
      <c r="B770" s="8"/>
      <c r="C770" s="8"/>
    </row>
    <row r="771" spans="1:3" x14ac:dyDescent="0.2">
      <c r="A771" s="11"/>
      <c r="B771" s="8"/>
      <c r="C771" s="8"/>
    </row>
    <row r="772" spans="1:3" x14ac:dyDescent="0.2">
      <c r="A772" s="11"/>
      <c r="B772" s="8"/>
      <c r="C772" s="8"/>
    </row>
    <row r="773" spans="1:3" x14ac:dyDescent="0.2">
      <c r="A773" s="11"/>
      <c r="B773" s="8"/>
      <c r="C773" s="8"/>
    </row>
    <row r="774" spans="1:3" x14ac:dyDescent="0.2">
      <c r="A774" s="11"/>
      <c r="B774" s="8"/>
      <c r="C774" s="8"/>
    </row>
    <row r="775" spans="1:3" x14ac:dyDescent="0.2">
      <c r="A775" s="11"/>
      <c r="B775" s="8"/>
      <c r="C775" s="8"/>
    </row>
    <row r="776" spans="1:3" x14ac:dyDescent="0.2">
      <c r="A776" s="11"/>
      <c r="B776" s="8"/>
      <c r="C776" s="8"/>
    </row>
    <row r="777" spans="1:3" x14ac:dyDescent="0.2">
      <c r="A777" s="11"/>
      <c r="B777" s="8"/>
      <c r="C777" s="8"/>
    </row>
    <row r="778" spans="1:3" x14ac:dyDescent="0.2">
      <c r="A778" s="11"/>
      <c r="B778" s="8"/>
      <c r="C778" s="8"/>
    </row>
    <row r="779" spans="1:3" x14ac:dyDescent="0.2">
      <c r="A779" s="11"/>
      <c r="B779" s="8"/>
      <c r="C779" s="8"/>
    </row>
    <row r="780" spans="1:3" x14ac:dyDescent="0.2">
      <c r="A780" s="11"/>
      <c r="B780" s="8"/>
      <c r="C780" s="8"/>
    </row>
    <row r="781" spans="1:3" x14ac:dyDescent="0.2">
      <c r="A781" s="11"/>
      <c r="B781" s="8"/>
      <c r="C781" s="8"/>
    </row>
    <row r="782" spans="1:3" x14ac:dyDescent="0.2">
      <c r="A782" s="11"/>
      <c r="B782" s="8"/>
      <c r="C782" s="8"/>
    </row>
    <row r="783" spans="1:3" x14ac:dyDescent="0.2">
      <c r="A783" s="11"/>
      <c r="B783" s="8"/>
      <c r="C783" s="8"/>
    </row>
    <row r="784" spans="1:3" x14ac:dyDescent="0.2">
      <c r="A784" s="11"/>
      <c r="B784" s="8"/>
      <c r="C784" s="8"/>
    </row>
    <row r="785" spans="1:3" x14ac:dyDescent="0.2">
      <c r="A785" s="11"/>
      <c r="B785" s="8"/>
      <c r="C785" s="8"/>
    </row>
    <row r="786" spans="1:3" x14ac:dyDescent="0.2">
      <c r="A786" s="11"/>
      <c r="B786" s="8"/>
      <c r="C786" s="8"/>
    </row>
    <row r="787" spans="1:3" x14ac:dyDescent="0.2">
      <c r="A787" s="11"/>
      <c r="B787" s="8"/>
      <c r="C787" s="8"/>
    </row>
    <row r="788" spans="1:3" x14ac:dyDescent="0.2">
      <c r="A788" s="11"/>
      <c r="B788" s="8"/>
      <c r="C788" s="8"/>
    </row>
    <row r="789" spans="1:3" x14ac:dyDescent="0.2">
      <c r="A789" s="11"/>
      <c r="B789" s="8"/>
      <c r="C789" s="8"/>
    </row>
    <row r="790" spans="1:3" x14ac:dyDescent="0.2">
      <c r="A790" s="11"/>
      <c r="B790" s="8"/>
      <c r="C790" s="8"/>
    </row>
    <row r="791" spans="1:3" x14ac:dyDescent="0.2">
      <c r="A791" s="11"/>
      <c r="B791" s="8"/>
      <c r="C791" s="8"/>
    </row>
    <row r="792" spans="1:3" x14ac:dyDescent="0.2">
      <c r="A792" s="11"/>
      <c r="B792" s="8"/>
      <c r="C792" s="8"/>
    </row>
    <row r="793" spans="1:3" x14ac:dyDescent="0.2">
      <c r="A793" s="11"/>
      <c r="B793" s="8"/>
      <c r="C793" s="8"/>
    </row>
    <row r="794" spans="1:3" x14ac:dyDescent="0.2">
      <c r="A794" s="11"/>
      <c r="B794" s="8"/>
      <c r="C794" s="8"/>
    </row>
    <row r="795" spans="1:3" x14ac:dyDescent="0.2">
      <c r="A795" s="11"/>
      <c r="B795" s="8"/>
      <c r="C795" s="8"/>
    </row>
    <row r="796" spans="1:3" x14ac:dyDescent="0.2">
      <c r="A796" s="11"/>
      <c r="B796" s="8"/>
      <c r="C796" s="8"/>
    </row>
    <row r="797" spans="1:3" x14ac:dyDescent="0.2">
      <c r="A797" s="11"/>
      <c r="B797" s="8"/>
      <c r="C797" s="8"/>
    </row>
    <row r="798" spans="1:3" x14ac:dyDescent="0.2">
      <c r="A798" s="11"/>
      <c r="B798" s="8"/>
      <c r="C798" s="8"/>
    </row>
    <row r="799" spans="1:3" x14ac:dyDescent="0.2">
      <c r="A799" s="11"/>
      <c r="B799" s="8"/>
      <c r="C799" s="8"/>
    </row>
    <row r="800" spans="1:3" x14ac:dyDescent="0.2">
      <c r="A800" s="11"/>
      <c r="B800" s="8"/>
      <c r="C800" s="8"/>
    </row>
    <row r="801" spans="1:3" x14ac:dyDescent="0.2">
      <c r="A801" s="11"/>
      <c r="B801" s="8"/>
      <c r="C801" s="8"/>
    </row>
    <row r="802" spans="1:3" x14ac:dyDescent="0.2">
      <c r="A802" s="11"/>
      <c r="B802" s="8"/>
      <c r="C802" s="8"/>
    </row>
    <row r="803" spans="1:3" x14ac:dyDescent="0.2">
      <c r="A803" s="11"/>
      <c r="B803" s="8"/>
      <c r="C803" s="8"/>
    </row>
    <row r="804" spans="1:3" x14ac:dyDescent="0.2">
      <c r="A804" s="11"/>
      <c r="B804" s="8"/>
      <c r="C804" s="8"/>
    </row>
    <row r="805" spans="1:3" x14ac:dyDescent="0.2">
      <c r="A805" s="11"/>
      <c r="B805" s="8"/>
      <c r="C805" s="8"/>
    </row>
    <row r="806" spans="1:3" x14ac:dyDescent="0.2">
      <c r="A806" s="11"/>
      <c r="B806" s="8"/>
      <c r="C806" s="8"/>
    </row>
    <row r="807" spans="1:3" x14ac:dyDescent="0.2">
      <c r="A807" s="11"/>
      <c r="B807" s="8"/>
      <c r="C807" s="8"/>
    </row>
    <row r="808" spans="1:3" x14ac:dyDescent="0.2">
      <c r="A808" s="11"/>
      <c r="B808" s="8"/>
      <c r="C808" s="8"/>
    </row>
    <row r="809" spans="1:3" x14ac:dyDescent="0.2">
      <c r="A809" s="11"/>
      <c r="B809" s="8"/>
      <c r="C809" s="8"/>
    </row>
    <row r="810" spans="1:3" x14ac:dyDescent="0.2">
      <c r="A810" s="11"/>
      <c r="B810" s="8"/>
      <c r="C810" s="8"/>
    </row>
    <row r="811" spans="1:3" x14ac:dyDescent="0.2">
      <c r="A811" s="11"/>
      <c r="B811" s="8"/>
      <c r="C811" s="8"/>
    </row>
    <row r="812" spans="1:3" x14ac:dyDescent="0.2">
      <c r="A812" s="11"/>
      <c r="B812" s="8"/>
      <c r="C812" s="8"/>
    </row>
    <row r="813" spans="1:3" x14ac:dyDescent="0.2">
      <c r="A813" s="11"/>
      <c r="B813" s="8"/>
      <c r="C813" s="8"/>
    </row>
    <row r="814" spans="1:3" x14ac:dyDescent="0.2">
      <c r="A814" s="11"/>
      <c r="B814" s="8"/>
      <c r="C814" s="8"/>
    </row>
    <row r="815" spans="1:3" x14ac:dyDescent="0.2">
      <c r="A815" s="11"/>
      <c r="B815" s="8"/>
      <c r="C815" s="8"/>
    </row>
    <row r="816" spans="1:3" x14ac:dyDescent="0.2">
      <c r="A816" s="11"/>
      <c r="B816" s="8"/>
      <c r="C816" s="8"/>
    </row>
    <row r="817" spans="1:3" x14ac:dyDescent="0.2">
      <c r="A817" s="11"/>
      <c r="B817" s="8"/>
      <c r="C817" s="8"/>
    </row>
    <row r="818" spans="1:3" x14ac:dyDescent="0.2">
      <c r="A818" s="11"/>
      <c r="B818" s="8"/>
      <c r="C818" s="8"/>
    </row>
    <row r="819" spans="1:3" x14ac:dyDescent="0.2">
      <c r="A819" s="11"/>
      <c r="B819" s="8"/>
      <c r="C819" s="8"/>
    </row>
    <row r="820" spans="1:3" x14ac:dyDescent="0.2">
      <c r="A820" s="11"/>
      <c r="B820" s="8"/>
      <c r="C820" s="8"/>
    </row>
    <row r="821" spans="1:3" x14ac:dyDescent="0.2">
      <c r="A821" s="11"/>
      <c r="B821" s="8"/>
      <c r="C821" s="8"/>
    </row>
    <row r="822" spans="1:3" x14ac:dyDescent="0.2">
      <c r="A822" s="11"/>
      <c r="B822" s="8"/>
      <c r="C822" s="8"/>
    </row>
    <row r="823" spans="1:3" x14ac:dyDescent="0.2">
      <c r="A823" s="11"/>
      <c r="B823" s="8"/>
      <c r="C823" s="8"/>
    </row>
    <row r="824" spans="1:3" x14ac:dyDescent="0.2">
      <c r="A824" s="11"/>
      <c r="B824" s="8"/>
      <c r="C824" s="8"/>
    </row>
    <row r="825" spans="1:3" x14ac:dyDescent="0.2">
      <c r="A825" s="11"/>
      <c r="B825" s="8"/>
      <c r="C825" s="8"/>
    </row>
    <row r="826" spans="1:3" x14ac:dyDescent="0.2">
      <c r="A826" s="11"/>
      <c r="B826" s="8"/>
      <c r="C826" s="8"/>
    </row>
    <row r="827" spans="1:3" x14ac:dyDescent="0.2">
      <c r="A827" s="11"/>
      <c r="B827" s="8"/>
      <c r="C827" s="8"/>
    </row>
    <row r="828" spans="1:3" x14ac:dyDescent="0.2">
      <c r="A828" s="11"/>
      <c r="B828" s="8"/>
      <c r="C828" s="8"/>
    </row>
    <row r="829" spans="1:3" x14ac:dyDescent="0.2">
      <c r="A829" s="11"/>
      <c r="B829" s="8"/>
      <c r="C829" s="8"/>
    </row>
    <row r="830" spans="1:3" x14ac:dyDescent="0.2">
      <c r="A830" s="11"/>
      <c r="B830" s="8"/>
      <c r="C830" s="8"/>
    </row>
    <row r="831" spans="1:3" x14ac:dyDescent="0.2">
      <c r="A831" s="11"/>
      <c r="B831" s="8"/>
      <c r="C831" s="8"/>
    </row>
    <row r="832" spans="1:3" x14ac:dyDescent="0.2">
      <c r="A832" s="11"/>
      <c r="B832" s="8"/>
      <c r="C832" s="8"/>
    </row>
    <row r="833" spans="1:3" x14ac:dyDescent="0.2">
      <c r="A833" s="11"/>
      <c r="B833" s="8"/>
      <c r="C833" s="8"/>
    </row>
    <row r="834" spans="1:3" x14ac:dyDescent="0.2">
      <c r="A834" s="11"/>
      <c r="B834" s="8"/>
      <c r="C834" s="8"/>
    </row>
    <row r="835" spans="1:3" x14ac:dyDescent="0.2">
      <c r="A835" s="11"/>
      <c r="B835" s="8"/>
      <c r="C835" s="8"/>
    </row>
    <row r="836" spans="1:3" x14ac:dyDescent="0.2">
      <c r="A836" s="11"/>
      <c r="B836" s="8"/>
      <c r="C836" s="8"/>
    </row>
    <row r="837" spans="1:3" x14ac:dyDescent="0.2">
      <c r="A837" s="11"/>
      <c r="B837" s="8"/>
      <c r="C837" s="8"/>
    </row>
    <row r="838" spans="1:3" x14ac:dyDescent="0.2">
      <c r="A838" s="11"/>
      <c r="B838" s="8"/>
      <c r="C838" s="8"/>
    </row>
    <row r="839" spans="1:3" x14ac:dyDescent="0.2">
      <c r="A839" s="11"/>
      <c r="B839" s="8"/>
      <c r="C839" s="8"/>
    </row>
    <row r="840" spans="1:3" x14ac:dyDescent="0.2">
      <c r="A840" s="11"/>
      <c r="B840" s="8"/>
      <c r="C840" s="8"/>
    </row>
    <row r="841" spans="1:3" x14ac:dyDescent="0.2">
      <c r="A841" s="11"/>
      <c r="B841" s="8"/>
      <c r="C841" s="8"/>
    </row>
    <row r="842" spans="1:3" x14ac:dyDescent="0.2">
      <c r="A842" s="11"/>
      <c r="B842" s="8"/>
      <c r="C842" s="8"/>
    </row>
    <row r="843" spans="1:3" x14ac:dyDescent="0.2">
      <c r="A843" s="11"/>
      <c r="B843" s="8"/>
      <c r="C843" s="8"/>
    </row>
    <row r="844" spans="1:3" x14ac:dyDescent="0.2">
      <c r="A844" s="11"/>
      <c r="B844" s="8"/>
      <c r="C844" s="8"/>
    </row>
    <row r="845" spans="1:3" x14ac:dyDescent="0.2">
      <c r="A845" s="11"/>
      <c r="B845" s="8"/>
      <c r="C845" s="8"/>
    </row>
    <row r="846" spans="1:3" x14ac:dyDescent="0.2">
      <c r="A846" s="11"/>
      <c r="B846" s="8"/>
      <c r="C846" s="8"/>
    </row>
    <row r="847" spans="1:3" x14ac:dyDescent="0.2">
      <c r="A847" s="11"/>
      <c r="B847" s="8"/>
      <c r="C847" s="8"/>
    </row>
    <row r="848" spans="1:3" x14ac:dyDescent="0.2">
      <c r="A848" s="11"/>
      <c r="B848" s="8"/>
      <c r="C848" s="8"/>
    </row>
    <row r="849" spans="1:3" x14ac:dyDescent="0.2">
      <c r="A849" s="11"/>
      <c r="B849" s="8"/>
      <c r="C849" s="8"/>
    </row>
    <row r="850" spans="1:3" x14ac:dyDescent="0.2">
      <c r="A850" s="11"/>
      <c r="B850" s="8"/>
      <c r="C850" s="8"/>
    </row>
    <row r="851" spans="1:3" x14ac:dyDescent="0.2">
      <c r="A851" s="11"/>
      <c r="B851" s="8"/>
      <c r="C851" s="8"/>
    </row>
    <row r="852" spans="1:3" x14ac:dyDescent="0.2">
      <c r="A852" s="11"/>
      <c r="B852" s="8"/>
      <c r="C852" s="8"/>
    </row>
    <row r="853" spans="1:3" x14ac:dyDescent="0.2">
      <c r="A853" s="11"/>
      <c r="B853" s="8"/>
      <c r="C853" s="8"/>
    </row>
    <row r="854" spans="1:3" x14ac:dyDescent="0.2">
      <c r="A854" s="11"/>
      <c r="B854" s="8"/>
      <c r="C854" s="8"/>
    </row>
    <row r="855" spans="1:3" x14ac:dyDescent="0.2">
      <c r="A855" s="11"/>
      <c r="B855" s="8"/>
      <c r="C855" s="8"/>
    </row>
    <row r="856" spans="1:3" x14ac:dyDescent="0.2">
      <c r="A856" s="11"/>
      <c r="B856" s="8"/>
      <c r="C856" s="8"/>
    </row>
    <row r="857" spans="1:3" x14ac:dyDescent="0.2">
      <c r="A857" s="11"/>
      <c r="B857" s="8"/>
      <c r="C857" s="8"/>
    </row>
    <row r="858" spans="1:3" x14ac:dyDescent="0.2">
      <c r="A858" s="11"/>
      <c r="B858" s="8"/>
      <c r="C858" s="8"/>
    </row>
    <row r="859" spans="1:3" x14ac:dyDescent="0.2">
      <c r="A859" s="11"/>
      <c r="B859" s="8"/>
      <c r="C859" s="8"/>
    </row>
    <row r="860" spans="1:3" x14ac:dyDescent="0.2">
      <c r="A860" s="11"/>
      <c r="B860" s="8"/>
      <c r="C860" s="8"/>
    </row>
    <row r="861" spans="1:3" x14ac:dyDescent="0.2">
      <c r="A861" s="11"/>
      <c r="B861" s="8"/>
      <c r="C861" s="8"/>
    </row>
    <row r="862" spans="1:3" x14ac:dyDescent="0.2">
      <c r="A862" s="11"/>
      <c r="B862" s="8"/>
      <c r="C862" s="8"/>
    </row>
    <row r="863" spans="1:3" x14ac:dyDescent="0.2">
      <c r="A863" s="11"/>
      <c r="B863" s="8"/>
      <c r="C863" s="8"/>
    </row>
    <row r="864" spans="1:3" x14ac:dyDescent="0.2">
      <c r="A864" s="11"/>
      <c r="B864" s="8"/>
      <c r="C864" s="8"/>
    </row>
    <row r="865" spans="1:3" x14ac:dyDescent="0.2">
      <c r="A865" s="11"/>
      <c r="B865" s="8"/>
      <c r="C865" s="8"/>
    </row>
    <row r="866" spans="1:3" x14ac:dyDescent="0.2">
      <c r="A866" s="11"/>
      <c r="B866" s="8"/>
      <c r="C866" s="8"/>
    </row>
    <row r="867" spans="1:3" x14ac:dyDescent="0.2">
      <c r="A867" s="11"/>
      <c r="B867" s="8"/>
      <c r="C867" s="8"/>
    </row>
    <row r="868" spans="1:3" x14ac:dyDescent="0.2">
      <c r="A868" s="11"/>
      <c r="B868" s="8"/>
      <c r="C868" s="8"/>
    </row>
    <row r="869" spans="1:3" x14ac:dyDescent="0.2">
      <c r="A869" s="11"/>
      <c r="B869" s="8"/>
      <c r="C869" s="8"/>
    </row>
    <row r="870" spans="1:3" x14ac:dyDescent="0.2">
      <c r="A870" s="11"/>
      <c r="B870" s="8"/>
      <c r="C870" s="8"/>
    </row>
    <row r="871" spans="1:3" x14ac:dyDescent="0.2">
      <c r="A871" s="11"/>
      <c r="B871" s="8"/>
      <c r="C871" s="8"/>
    </row>
    <row r="872" spans="1:3" x14ac:dyDescent="0.2">
      <c r="A872" s="11"/>
      <c r="B872" s="8"/>
      <c r="C872" s="8"/>
    </row>
    <row r="873" spans="1:3" x14ac:dyDescent="0.2">
      <c r="A873" s="11"/>
      <c r="B873" s="8"/>
      <c r="C873" s="8"/>
    </row>
    <row r="874" spans="1:3" x14ac:dyDescent="0.2">
      <c r="A874" s="11"/>
      <c r="B874" s="8"/>
      <c r="C874" s="8"/>
    </row>
    <row r="875" spans="1:3" x14ac:dyDescent="0.2">
      <c r="A875" s="11"/>
      <c r="B875" s="8"/>
      <c r="C875" s="8"/>
    </row>
    <row r="876" spans="1:3" x14ac:dyDescent="0.2">
      <c r="A876" s="11"/>
      <c r="B876" s="8"/>
      <c r="C876" s="8"/>
    </row>
    <row r="877" spans="1:3" x14ac:dyDescent="0.2">
      <c r="A877" s="11"/>
      <c r="B877" s="8"/>
      <c r="C877" s="8"/>
    </row>
    <row r="878" spans="1:3" x14ac:dyDescent="0.2">
      <c r="A878" s="11"/>
      <c r="B878" s="8"/>
      <c r="C878" s="8"/>
    </row>
    <row r="879" spans="1:3" x14ac:dyDescent="0.2">
      <c r="A879" s="11"/>
      <c r="B879" s="8"/>
      <c r="C879" s="8"/>
    </row>
    <row r="880" spans="1:3" x14ac:dyDescent="0.2">
      <c r="A880" s="11"/>
      <c r="B880" s="8"/>
      <c r="C880" s="8"/>
    </row>
    <row r="881" spans="1:3" x14ac:dyDescent="0.2">
      <c r="A881" s="11"/>
      <c r="B881" s="8"/>
      <c r="C881" s="8"/>
    </row>
    <row r="882" spans="1:3" x14ac:dyDescent="0.2">
      <c r="A882" s="11"/>
      <c r="B882" s="8"/>
      <c r="C882" s="8"/>
    </row>
    <row r="883" spans="1:3" x14ac:dyDescent="0.2">
      <c r="A883" s="11"/>
      <c r="B883" s="8"/>
      <c r="C883" s="8"/>
    </row>
    <row r="884" spans="1:3" x14ac:dyDescent="0.2">
      <c r="A884" s="11"/>
      <c r="B884" s="8"/>
      <c r="C884" s="8"/>
    </row>
    <row r="885" spans="1:3" x14ac:dyDescent="0.2">
      <c r="A885" s="11"/>
      <c r="B885" s="8"/>
      <c r="C885" s="8"/>
    </row>
    <row r="886" spans="1:3" x14ac:dyDescent="0.2">
      <c r="A886" s="11"/>
      <c r="B886" s="8"/>
      <c r="C886" s="8"/>
    </row>
    <row r="887" spans="1:3" x14ac:dyDescent="0.2">
      <c r="A887" s="11"/>
      <c r="B887" s="8"/>
      <c r="C887" s="8"/>
    </row>
    <row r="888" spans="1:3" x14ac:dyDescent="0.2">
      <c r="A888" s="11"/>
      <c r="B888" s="8"/>
      <c r="C888" s="8"/>
    </row>
    <row r="889" spans="1:3" x14ac:dyDescent="0.2">
      <c r="A889" s="11"/>
      <c r="B889" s="8"/>
      <c r="C889" s="8"/>
    </row>
    <row r="890" spans="1:3" x14ac:dyDescent="0.2">
      <c r="A890" s="11"/>
      <c r="B890" s="8"/>
      <c r="C890" s="8"/>
    </row>
    <row r="891" spans="1:3" x14ac:dyDescent="0.2">
      <c r="A891" s="11"/>
      <c r="B891" s="8"/>
      <c r="C891" s="8"/>
    </row>
    <row r="892" spans="1:3" x14ac:dyDescent="0.2">
      <c r="A892" s="11"/>
      <c r="B892" s="8"/>
      <c r="C892" s="8"/>
    </row>
    <row r="893" spans="1:3" x14ac:dyDescent="0.2">
      <c r="A893" s="11"/>
      <c r="B893" s="8"/>
      <c r="C893" s="8"/>
    </row>
    <row r="894" spans="1:3" x14ac:dyDescent="0.2">
      <c r="A894" s="11"/>
      <c r="B894" s="8"/>
      <c r="C894" s="8"/>
    </row>
    <row r="895" spans="1:3" x14ac:dyDescent="0.2">
      <c r="A895" s="11"/>
      <c r="B895" s="8"/>
      <c r="C895" s="8"/>
    </row>
    <row r="896" spans="1:3" x14ac:dyDescent="0.2">
      <c r="A896" s="11"/>
      <c r="B896" s="8"/>
      <c r="C896" s="8"/>
    </row>
    <row r="897" spans="1:3" x14ac:dyDescent="0.2">
      <c r="A897" s="11"/>
      <c r="B897" s="8"/>
      <c r="C897" s="8"/>
    </row>
    <row r="898" spans="1:3" x14ac:dyDescent="0.2">
      <c r="A898" s="11"/>
      <c r="B898" s="8"/>
      <c r="C898" s="8"/>
    </row>
    <row r="899" spans="1:3" x14ac:dyDescent="0.2">
      <c r="A899" s="11"/>
      <c r="B899" s="8"/>
      <c r="C899" s="8"/>
    </row>
    <row r="900" spans="1:3" x14ac:dyDescent="0.2">
      <c r="A900" s="11"/>
      <c r="B900" s="8"/>
      <c r="C900" s="8"/>
    </row>
    <row r="901" spans="1:3" x14ac:dyDescent="0.2">
      <c r="A901" s="11"/>
      <c r="B901" s="8"/>
      <c r="C901" s="8"/>
    </row>
    <row r="902" spans="1:3" x14ac:dyDescent="0.2">
      <c r="A902" s="11"/>
      <c r="B902" s="8"/>
      <c r="C902" s="8"/>
    </row>
    <row r="903" spans="1:3" x14ac:dyDescent="0.2">
      <c r="A903" s="11"/>
      <c r="B903" s="8"/>
      <c r="C903" s="8"/>
    </row>
    <row r="904" spans="1:3" x14ac:dyDescent="0.2">
      <c r="A904" s="11"/>
      <c r="B904" s="8"/>
      <c r="C904" s="8"/>
    </row>
    <row r="905" spans="1:3" x14ac:dyDescent="0.2">
      <c r="A905" s="11"/>
      <c r="B905" s="8"/>
      <c r="C905" s="8"/>
    </row>
  </sheetData>
  <mergeCells count="2">
    <mergeCell ref="A1:C1"/>
    <mergeCell ref="H1:J1"/>
  </mergeCells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Button 1">
              <controlPr defaultSize="0" print="0" autoFill="0" autoPict="0" macro="[0]!Interpolate_Now">
                <anchor moveWithCells="1" sizeWithCells="1">
                  <from>
                    <xdr:col>4</xdr:col>
                    <xdr:colOff>85725</xdr:colOff>
                    <xdr:row>4</xdr:row>
                    <xdr:rowOff>104775</xdr:rowOff>
                  </from>
                  <to>
                    <xdr:col>5</xdr:col>
                    <xdr:colOff>342900</xdr:colOff>
                    <xdr:row>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3"/>
  <sheetViews>
    <sheetView workbookViewId="0">
      <selection activeCell="C3" sqref="C3:C203"/>
    </sheetView>
  </sheetViews>
  <sheetFormatPr defaultRowHeight="12.75" x14ac:dyDescent="0.2"/>
  <cols>
    <col min="1" max="2" width="9.140625" style="1"/>
    <col min="3" max="3" width="12.42578125" style="1" bestFit="1" customWidth="1"/>
    <col min="4" max="16384" width="9.140625" style="1"/>
  </cols>
  <sheetData>
    <row r="1" spans="1:5" x14ac:dyDescent="0.2">
      <c r="A1" s="18" t="s">
        <v>0</v>
      </c>
      <c r="B1" s="18"/>
      <c r="C1" s="18"/>
    </row>
    <row r="2" spans="1:5" ht="15.75" x14ac:dyDescent="0.3">
      <c r="A2" s="2" t="s">
        <v>1</v>
      </c>
      <c r="B2" s="3" t="s">
        <v>2</v>
      </c>
      <c r="C2" s="4" t="s">
        <v>3</v>
      </c>
      <c r="D2" s="5" t="s">
        <v>19</v>
      </c>
      <c r="E2" s="5" t="s">
        <v>20</v>
      </c>
    </row>
    <row r="3" spans="1:5" x14ac:dyDescent="0.2">
      <c r="A3" s="6">
        <f>Data!A3</f>
        <v>450</v>
      </c>
      <c r="B3" s="6">
        <f>Data!B3</f>
        <v>4.2954061873511432E-4</v>
      </c>
      <c r="C3" s="6">
        <f>Data!C3</f>
        <v>6.770512399820373E-5</v>
      </c>
      <c r="D3" s="7">
        <f>B3+C3</f>
        <v>4.972457427333181E-4</v>
      </c>
      <c r="E3" s="7">
        <f>B3-C3</f>
        <v>3.6183549473691059E-4</v>
      </c>
    </row>
    <row r="4" spans="1:5" x14ac:dyDescent="0.2">
      <c r="A4" s="6">
        <f>Data!A4</f>
        <v>451</v>
      </c>
      <c r="B4" s="6">
        <f>Data!B4</f>
        <v>4.9879751382469247E-4</v>
      </c>
      <c r="C4" s="6">
        <f>Data!C4</f>
        <v>8.2602588409065741E-5</v>
      </c>
      <c r="D4" s="7">
        <f t="shared" ref="D4:D67" si="0">B4+C4</f>
        <v>5.8140010223375817E-4</v>
      </c>
      <c r="E4" s="7">
        <f t="shared" ref="E4:E67" si="1">B4-C4</f>
        <v>4.1619492541562672E-4</v>
      </c>
    </row>
    <row r="5" spans="1:5" x14ac:dyDescent="0.2">
      <c r="A5" s="6">
        <f>Data!A5</f>
        <v>452</v>
      </c>
      <c r="B5" s="6">
        <f>Data!B5</f>
        <v>5.8545926729735665E-4</v>
      </c>
      <c r="C5" s="6">
        <f>Data!C5</f>
        <v>1.0067488540327871E-4</v>
      </c>
      <c r="D5" s="7">
        <f t="shared" si="0"/>
        <v>6.8613415270063537E-4</v>
      </c>
      <c r="E5" s="7">
        <f t="shared" si="1"/>
        <v>4.8478438189407792E-4</v>
      </c>
    </row>
    <row r="6" spans="1:5" x14ac:dyDescent="0.2">
      <c r="A6" s="6">
        <f>Data!A6</f>
        <v>453</v>
      </c>
      <c r="B6" s="6">
        <f>Data!B6</f>
        <v>7.0306183872745906E-4</v>
      </c>
      <c r="C6" s="6">
        <f>Data!C6</f>
        <v>1.2455464603348645E-4</v>
      </c>
      <c r="D6" s="7">
        <f t="shared" si="0"/>
        <v>8.2761648476094556E-4</v>
      </c>
      <c r="E6" s="7">
        <f t="shared" si="1"/>
        <v>5.7850719269397256E-4</v>
      </c>
    </row>
    <row r="7" spans="1:5" x14ac:dyDescent="0.2">
      <c r="A7" s="6">
        <f>Data!A7</f>
        <v>454</v>
      </c>
      <c r="B7" s="6">
        <f>Data!B7</f>
        <v>8.0845813078025855E-4</v>
      </c>
      <c r="C7" s="6">
        <f>Data!C7</f>
        <v>1.4669327215644507E-4</v>
      </c>
      <c r="D7" s="7">
        <f t="shared" si="0"/>
        <v>9.5515140293670365E-4</v>
      </c>
      <c r="E7" s="7">
        <f t="shared" si="1"/>
        <v>6.6176485862381345E-4</v>
      </c>
    </row>
    <row r="8" spans="1:5" x14ac:dyDescent="0.2">
      <c r="A8" s="6">
        <f>Data!A8</f>
        <v>455</v>
      </c>
      <c r="B8" s="6">
        <f>Data!B8</f>
        <v>9.8670648097284983E-4</v>
      </c>
      <c r="C8" s="6">
        <f>Data!C8</f>
        <v>1.827109732210955E-4</v>
      </c>
      <c r="D8" s="7">
        <f t="shared" si="0"/>
        <v>1.1694174541939453E-3</v>
      </c>
      <c r="E8" s="7">
        <f t="shared" si="1"/>
        <v>8.0399550775175433E-4</v>
      </c>
    </row>
    <row r="9" spans="1:5" x14ac:dyDescent="0.2">
      <c r="A9" s="6">
        <f>Data!A9</f>
        <v>456</v>
      </c>
      <c r="B9" s="6">
        <f>Data!B9</f>
        <v>1.1524510357402336E-3</v>
      </c>
      <c r="C9" s="6">
        <f>Data!C9</f>
        <v>2.1713563027084875E-4</v>
      </c>
      <c r="D9" s="7">
        <f t="shared" si="0"/>
        <v>1.3695866660110823E-3</v>
      </c>
      <c r="E9" s="7">
        <f t="shared" si="1"/>
        <v>9.3531540546938478E-4</v>
      </c>
    </row>
    <row r="10" spans="1:5" x14ac:dyDescent="0.2">
      <c r="A10" s="6">
        <f>Data!A10</f>
        <v>457</v>
      </c>
      <c r="B10" s="6">
        <f>Data!B10</f>
        <v>1.3691839345430716E-3</v>
      </c>
      <c r="C10" s="6">
        <f>Data!C10</f>
        <v>2.6201538229046262E-4</v>
      </c>
      <c r="D10" s="7">
        <f t="shared" si="0"/>
        <v>1.6311993168335341E-3</v>
      </c>
      <c r="E10" s="7">
        <f t="shared" si="1"/>
        <v>1.107168552252609E-3</v>
      </c>
    </row>
    <row r="11" spans="1:5" x14ac:dyDescent="0.2">
      <c r="A11" s="6">
        <f>Data!A11</f>
        <v>458</v>
      </c>
      <c r="B11" s="6">
        <f>Data!B11</f>
        <v>1.6457064254102368E-3</v>
      </c>
      <c r="C11" s="6">
        <f>Data!C11</f>
        <v>3.1934109878361963E-4</v>
      </c>
      <c r="D11" s="7">
        <f t="shared" si="0"/>
        <v>1.9650475241938564E-3</v>
      </c>
      <c r="E11" s="7">
        <f t="shared" si="1"/>
        <v>1.3263653266266172E-3</v>
      </c>
    </row>
    <row r="12" spans="1:5" x14ac:dyDescent="0.2">
      <c r="A12" s="6">
        <f>Data!A12</f>
        <v>459</v>
      </c>
      <c r="B12" s="6">
        <f>Data!B12</f>
        <v>1.912599293210492E-3</v>
      </c>
      <c r="C12" s="6">
        <f>Data!C12</f>
        <v>3.7584511960957488E-4</v>
      </c>
      <c r="D12" s="7">
        <f t="shared" si="0"/>
        <v>2.2884444128200669E-3</v>
      </c>
      <c r="E12" s="7">
        <f t="shared" si="1"/>
        <v>1.536754173600917E-3</v>
      </c>
    </row>
    <row r="13" spans="1:5" x14ac:dyDescent="0.2">
      <c r="A13" s="6">
        <f>Data!A13</f>
        <v>460</v>
      </c>
      <c r="B13" s="6">
        <f>Data!B13</f>
        <v>2.351199834366709E-3</v>
      </c>
      <c r="C13" s="6">
        <f>Data!C13</f>
        <v>4.6728142335732321E-4</v>
      </c>
      <c r="D13" s="7">
        <f t="shared" si="0"/>
        <v>2.8184812577240321E-3</v>
      </c>
      <c r="E13" s="7">
        <f t="shared" si="1"/>
        <v>1.8839184110093859E-3</v>
      </c>
    </row>
    <row r="14" spans="1:5" x14ac:dyDescent="0.2">
      <c r="A14" s="6">
        <f>Data!A14</f>
        <v>461</v>
      </c>
      <c r="B14" s="6">
        <f>Data!B14</f>
        <v>2.8253110180277629E-3</v>
      </c>
      <c r="C14" s="6">
        <f>Data!C14</f>
        <v>5.6682005575623979E-4</v>
      </c>
      <c r="D14" s="7">
        <f t="shared" si="0"/>
        <v>3.3921310737840028E-3</v>
      </c>
      <c r="E14" s="7">
        <f t="shared" si="1"/>
        <v>2.258490962271523E-3</v>
      </c>
    </row>
    <row r="15" spans="1:5" x14ac:dyDescent="0.2">
      <c r="A15" s="6">
        <f>Data!A15</f>
        <v>462</v>
      </c>
      <c r="B15" s="6">
        <f>Data!B15</f>
        <v>3.4017566558955186E-3</v>
      </c>
      <c r="C15" s="6">
        <f>Data!C15</f>
        <v>6.8779296214766482E-4</v>
      </c>
      <c r="D15" s="7">
        <f t="shared" si="0"/>
        <v>4.0895496180431831E-3</v>
      </c>
      <c r="E15" s="7">
        <f t="shared" si="1"/>
        <v>2.7139636937478537E-3</v>
      </c>
    </row>
    <row r="16" spans="1:5" x14ac:dyDescent="0.2">
      <c r="A16" s="6">
        <f>Data!A16</f>
        <v>463</v>
      </c>
      <c r="B16" s="6">
        <f>Data!B16</f>
        <v>4.0805944232121267E-3</v>
      </c>
      <c r="C16" s="6">
        <f>Data!C16</f>
        <v>8.2960634291868258E-4</v>
      </c>
      <c r="D16" s="7">
        <f t="shared" si="0"/>
        <v>4.9102007661308089E-3</v>
      </c>
      <c r="E16" s="7">
        <f t="shared" si="1"/>
        <v>3.250988080293444E-3</v>
      </c>
    </row>
    <row r="17" spans="1:5" x14ac:dyDescent="0.2">
      <c r="A17" s="6">
        <f>Data!A17</f>
        <v>464</v>
      </c>
      <c r="B17" s="6">
        <f>Data!B17</f>
        <v>4.9819091733928414E-3</v>
      </c>
      <c r="C17" s="6">
        <f>Data!C17</f>
        <v>1.0163362937460768E-3</v>
      </c>
      <c r="D17" s="7">
        <f t="shared" si="0"/>
        <v>5.998245467138918E-3</v>
      </c>
      <c r="E17" s="7">
        <f t="shared" si="1"/>
        <v>3.9655728796467648E-3</v>
      </c>
    </row>
    <row r="18" spans="1:5" x14ac:dyDescent="0.2">
      <c r="A18" s="6">
        <f>Data!A18</f>
        <v>465</v>
      </c>
      <c r="B18" s="6">
        <f>Data!B18</f>
        <v>6.0907498660285869E-3</v>
      </c>
      <c r="C18" s="6">
        <f>Data!C18</f>
        <v>1.2436389336878293E-3</v>
      </c>
      <c r="D18" s="7">
        <f t="shared" si="0"/>
        <v>7.3343887997164162E-3</v>
      </c>
      <c r="E18" s="7">
        <f t="shared" si="1"/>
        <v>4.8471109323407575E-3</v>
      </c>
    </row>
    <row r="19" spans="1:5" x14ac:dyDescent="0.2">
      <c r="A19" s="6">
        <f>Data!A19</f>
        <v>466</v>
      </c>
      <c r="B19" s="6">
        <f>Data!B19</f>
        <v>7.279951008566792E-3</v>
      </c>
      <c r="C19" s="6">
        <f>Data!C19</f>
        <v>1.4838363494227237E-3</v>
      </c>
      <c r="D19" s="7">
        <f t="shared" si="0"/>
        <v>8.7637873579895151E-3</v>
      </c>
      <c r="E19" s="7">
        <f t="shared" si="1"/>
        <v>5.7961146591440681E-3</v>
      </c>
    </row>
    <row r="20" spans="1:5" x14ac:dyDescent="0.2">
      <c r="A20" s="6">
        <f>Data!A20</f>
        <v>467</v>
      </c>
      <c r="B20" s="6">
        <f>Data!B20</f>
        <v>8.8176404820291925E-3</v>
      </c>
      <c r="C20" s="6">
        <f>Data!C20</f>
        <v>1.7887834713110012E-3</v>
      </c>
      <c r="D20" s="7">
        <f t="shared" si="0"/>
        <v>1.0606423953340193E-2</v>
      </c>
      <c r="E20" s="7">
        <f t="shared" si="1"/>
        <v>7.0288570107181914E-3</v>
      </c>
    </row>
    <row r="21" spans="1:5" x14ac:dyDescent="0.2">
      <c r="A21" s="6">
        <f>Data!A21</f>
        <v>468</v>
      </c>
      <c r="B21" s="6">
        <f>Data!B21</f>
        <v>1.0499250426858281E-2</v>
      </c>
      <c r="C21" s="6">
        <f>Data!C21</f>
        <v>2.1138062535211765E-3</v>
      </c>
      <c r="D21" s="7">
        <f t="shared" si="0"/>
        <v>1.2613056680379459E-2</v>
      </c>
      <c r="E21" s="7">
        <f t="shared" si="1"/>
        <v>8.3854441733371039E-3</v>
      </c>
    </row>
    <row r="22" spans="1:5" x14ac:dyDescent="0.2">
      <c r="A22" s="6">
        <f>Data!A22</f>
        <v>469</v>
      </c>
      <c r="B22" s="6">
        <f>Data!B22</f>
        <v>1.2598364358276191E-2</v>
      </c>
      <c r="C22" s="6">
        <f>Data!C22</f>
        <v>2.5096461185070765E-3</v>
      </c>
      <c r="D22" s="7">
        <f t="shared" si="0"/>
        <v>1.5108010476783267E-2</v>
      </c>
      <c r="E22" s="7">
        <f t="shared" si="1"/>
        <v>1.0088718239769114E-2</v>
      </c>
    </row>
    <row r="23" spans="1:5" x14ac:dyDescent="0.2">
      <c r="A23" s="6">
        <f>Data!A23</f>
        <v>470</v>
      </c>
      <c r="B23" s="6">
        <f>Data!B23</f>
        <v>1.5025246652012091E-2</v>
      </c>
      <c r="C23" s="6">
        <f>Data!C23</f>
        <v>2.9516076180462281E-3</v>
      </c>
      <c r="D23" s="7">
        <f t="shared" si="0"/>
        <v>1.797685427005832E-2</v>
      </c>
      <c r="E23" s="7">
        <f t="shared" si="1"/>
        <v>1.2073639033965862E-2</v>
      </c>
    </row>
    <row r="24" spans="1:5" x14ac:dyDescent="0.2">
      <c r="A24" s="6">
        <f>Data!A24</f>
        <v>471</v>
      </c>
      <c r="B24" s="6">
        <f>Data!B24</f>
        <v>1.7788179246507801E-2</v>
      </c>
      <c r="C24" s="6">
        <f>Data!C24</f>
        <v>3.436816866930668E-3</v>
      </c>
      <c r="D24" s="7">
        <f t="shared" si="0"/>
        <v>2.122499611343847E-2</v>
      </c>
      <c r="E24" s="7">
        <f t="shared" si="1"/>
        <v>1.4351362379577133E-2</v>
      </c>
    </row>
    <row r="25" spans="1:5" x14ac:dyDescent="0.2">
      <c r="A25" s="6">
        <f>Data!A25</f>
        <v>472</v>
      </c>
      <c r="B25" s="6">
        <f>Data!B25</f>
        <v>2.1135601415254571E-2</v>
      </c>
      <c r="C25" s="6">
        <f>Data!C25</f>
        <v>4.0021549123951655E-3</v>
      </c>
      <c r="D25" s="7">
        <f t="shared" si="0"/>
        <v>2.5137756327649738E-2</v>
      </c>
      <c r="E25" s="7">
        <f t="shared" si="1"/>
        <v>1.7133446502859404E-2</v>
      </c>
    </row>
    <row r="26" spans="1:5" x14ac:dyDescent="0.2">
      <c r="A26" s="6">
        <f>Data!A26</f>
        <v>473</v>
      </c>
      <c r="B26" s="6">
        <f>Data!B26</f>
        <v>2.4744429907895563E-2</v>
      </c>
      <c r="C26" s="6">
        <f>Data!C26</f>
        <v>4.5790815757697804E-3</v>
      </c>
      <c r="D26" s="7">
        <f t="shared" si="0"/>
        <v>2.9323511483665344E-2</v>
      </c>
      <c r="E26" s="7">
        <f t="shared" si="1"/>
        <v>2.0165348332125781E-2</v>
      </c>
    </row>
    <row r="27" spans="1:5" x14ac:dyDescent="0.2">
      <c r="A27" s="6">
        <f>Data!A27</f>
        <v>474</v>
      </c>
      <c r="B27" s="6">
        <f>Data!B27</f>
        <v>2.9285863507304777E-2</v>
      </c>
      <c r="C27" s="6">
        <f>Data!C27</f>
        <v>5.2795035793720144E-3</v>
      </c>
      <c r="D27" s="7">
        <f t="shared" si="0"/>
        <v>3.456536708667679E-2</v>
      </c>
      <c r="E27" s="7">
        <f t="shared" si="1"/>
        <v>2.4006359927932763E-2</v>
      </c>
    </row>
    <row r="28" spans="1:5" x14ac:dyDescent="0.2">
      <c r="A28" s="6">
        <f>Data!A28</f>
        <v>475</v>
      </c>
      <c r="B28" s="6">
        <f>Data!B28</f>
        <v>3.4646064577893591E-2</v>
      </c>
      <c r="C28" s="6">
        <f>Data!C28</f>
        <v>6.0668223688333713E-3</v>
      </c>
      <c r="D28" s="7">
        <f t="shared" si="0"/>
        <v>4.0712886946726964E-2</v>
      </c>
      <c r="E28" s="7">
        <f t="shared" si="1"/>
        <v>2.8579242209060218E-2</v>
      </c>
    </row>
    <row r="29" spans="1:5" x14ac:dyDescent="0.2">
      <c r="A29" s="6">
        <f>Data!A29</f>
        <v>476</v>
      </c>
      <c r="B29" s="6">
        <f>Data!B29</f>
        <v>4.0238986924119431E-2</v>
      </c>
      <c r="C29" s="6">
        <f>Data!C29</f>
        <v>6.8255475766203786E-3</v>
      </c>
      <c r="D29" s="7">
        <f t="shared" si="0"/>
        <v>4.7064534500739809E-2</v>
      </c>
      <c r="E29" s="7">
        <f t="shared" si="1"/>
        <v>3.3413439347499053E-2</v>
      </c>
    </row>
    <row r="30" spans="1:5" x14ac:dyDescent="0.2">
      <c r="A30" s="6">
        <f>Data!A30</f>
        <v>477</v>
      </c>
      <c r="B30" s="6">
        <f>Data!B30</f>
        <v>4.7076361143046773E-2</v>
      </c>
      <c r="C30" s="6">
        <f>Data!C30</f>
        <v>7.7113110951146568E-3</v>
      </c>
      <c r="D30" s="7">
        <f t="shared" si="0"/>
        <v>5.4787672238161431E-2</v>
      </c>
      <c r="E30" s="7">
        <f t="shared" si="1"/>
        <v>3.9365050047932115E-2</v>
      </c>
    </row>
    <row r="31" spans="1:5" x14ac:dyDescent="0.2">
      <c r="A31" s="6">
        <f>Data!A31</f>
        <v>478</v>
      </c>
      <c r="B31" s="6">
        <f>Data!B31</f>
        <v>5.4597189146710183E-2</v>
      </c>
      <c r="C31" s="6">
        <f>Data!C31</f>
        <v>8.6151822153045093E-3</v>
      </c>
      <c r="D31" s="7">
        <f t="shared" si="0"/>
        <v>6.3212371362014685E-2</v>
      </c>
      <c r="E31" s="7">
        <f t="shared" si="1"/>
        <v>4.5982006931405674E-2</v>
      </c>
    </row>
    <row r="32" spans="1:5" x14ac:dyDescent="0.2">
      <c r="A32" s="6">
        <f>Data!A32</f>
        <v>479</v>
      </c>
      <c r="B32" s="6">
        <f>Data!B32</f>
        <v>6.3822969992783946E-2</v>
      </c>
      <c r="C32" s="6">
        <f>Data!C32</f>
        <v>9.6776059622508768E-3</v>
      </c>
      <c r="D32" s="7">
        <f t="shared" si="0"/>
        <v>7.3500575955034828E-2</v>
      </c>
      <c r="E32" s="7">
        <f t="shared" si="1"/>
        <v>5.4145364030533071E-2</v>
      </c>
    </row>
    <row r="33" spans="1:5" x14ac:dyDescent="0.2">
      <c r="A33" s="6">
        <f>Data!A33</f>
        <v>480</v>
      </c>
      <c r="B33" s="6">
        <f>Data!B33</f>
        <v>7.4143247904965862E-2</v>
      </c>
      <c r="C33" s="6">
        <f>Data!C33</f>
        <v>1.077926205002919E-2</v>
      </c>
      <c r="D33" s="7">
        <f t="shared" si="0"/>
        <v>8.4922509954995049E-2</v>
      </c>
      <c r="E33" s="7">
        <f t="shared" si="1"/>
        <v>6.3363985854936675E-2</v>
      </c>
    </row>
    <row r="34" spans="1:5" x14ac:dyDescent="0.2">
      <c r="A34" s="6">
        <f>Data!A34</f>
        <v>481</v>
      </c>
      <c r="B34" s="6">
        <f>Data!B34</f>
        <v>8.5325932091621412E-2</v>
      </c>
      <c r="C34" s="6">
        <f>Data!C34</f>
        <v>1.1866932653825803E-2</v>
      </c>
      <c r="D34" s="7">
        <f t="shared" si="0"/>
        <v>9.7192864745447222E-2</v>
      </c>
      <c r="E34" s="7">
        <f t="shared" si="1"/>
        <v>7.3458999437795602E-2</v>
      </c>
    </row>
    <row r="35" spans="1:5" x14ac:dyDescent="0.2">
      <c r="A35" s="6">
        <f>Data!A35</f>
        <v>482</v>
      </c>
      <c r="B35" s="6">
        <f>Data!B35</f>
        <v>9.8115868246864885E-2</v>
      </c>
      <c r="C35" s="6">
        <f>Data!C35</f>
        <v>1.3030790216167041E-2</v>
      </c>
      <c r="D35" s="7">
        <f t="shared" si="0"/>
        <v>0.11114665846303193</v>
      </c>
      <c r="E35" s="7">
        <f t="shared" si="1"/>
        <v>8.5085078030697842E-2</v>
      </c>
    </row>
    <row r="36" spans="1:5" x14ac:dyDescent="0.2">
      <c r="A36" s="6">
        <f>Data!A36</f>
        <v>483</v>
      </c>
      <c r="B36" s="6">
        <f>Data!B36</f>
        <v>0.11253210404822628</v>
      </c>
      <c r="C36" s="6">
        <f>Data!C36</f>
        <v>1.4251161048994187E-2</v>
      </c>
      <c r="D36" s="7">
        <f t="shared" si="0"/>
        <v>0.12678326509722046</v>
      </c>
      <c r="E36" s="7">
        <f t="shared" si="1"/>
        <v>9.8280942999232096E-2</v>
      </c>
    </row>
    <row r="37" spans="1:5" x14ac:dyDescent="0.2">
      <c r="A37" s="6">
        <f>Data!A37</f>
        <v>484</v>
      </c>
      <c r="B37" s="6">
        <f>Data!B37</f>
        <v>0.1276864136314716</v>
      </c>
      <c r="C37" s="6">
        <f>Data!C37</f>
        <v>1.5402098150739403E-2</v>
      </c>
      <c r="D37" s="7">
        <f t="shared" si="0"/>
        <v>0.14308851178221099</v>
      </c>
      <c r="E37" s="7">
        <f t="shared" si="1"/>
        <v>0.1122843154807322</v>
      </c>
    </row>
    <row r="38" spans="1:5" x14ac:dyDescent="0.2">
      <c r="A38" s="6">
        <f>Data!A38</f>
        <v>485</v>
      </c>
      <c r="B38" s="6">
        <f>Data!B38</f>
        <v>0.14483727845252922</v>
      </c>
      <c r="C38" s="6">
        <f>Data!C38</f>
        <v>1.662627578015162E-2</v>
      </c>
      <c r="D38" s="7">
        <f t="shared" si="0"/>
        <v>0.16146355423268083</v>
      </c>
      <c r="E38" s="7">
        <f t="shared" si="1"/>
        <v>0.12821100267237762</v>
      </c>
    </row>
    <row r="39" spans="1:5" x14ac:dyDescent="0.2">
      <c r="A39" s="6">
        <f>Data!A39</f>
        <v>486</v>
      </c>
      <c r="B39" s="6">
        <f>Data!B39</f>
        <v>0.16228908678468776</v>
      </c>
      <c r="C39" s="6">
        <f>Data!C39</f>
        <v>1.7710395593016404E-2</v>
      </c>
      <c r="D39" s="7">
        <f t="shared" si="0"/>
        <v>0.17999948237770416</v>
      </c>
      <c r="E39" s="7">
        <f t="shared" si="1"/>
        <v>0.14457869119167135</v>
      </c>
    </row>
    <row r="40" spans="1:5" x14ac:dyDescent="0.2">
      <c r="A40" s="6">
        <f>Data!A40</f>
        <v>487</v>
      </c>
      <c r="B40" s="6">
        <f>Data!B40</f>
        <v>0.18271819041593826</v>
      </c>
      <c r="C40" s="6">
        <f>Data!C40</f>
        <v>1.895665946190973E-2</v>
      </c>
      <c r="D40" s="7">
        <f t="shared" si="0"/>
        <v>0.20167484987784798</v>
      </c>
      <c r="E40" s="7">
        <f t="shared" si="1"/>
        <v>0.16376153095402854</v>
      </c>
    </row>
    <row r="41" spans="1:5" x14ac:dyDescent="0.2">
      <c r="A41" s="6">
        <f>Data!A41</f>
        <v>488</v>
      </c>
      <c r="B41" s="6">
        <f>Data!B41</f>
        <v>0.20415244331200424</v>
      </c>
      <c r="C41" s="6">
        <f>Data!C41</f>
        <v>2.012688919063077E-2</v>
      </c>
      <c r="D41" s="7">
        <f t="shared" si="0"/>
        <v>0.22427933250263501</v>
      </c>
      <c r="E41" s="7">
        <f t="shared" si="1"/>
        <v>0.18402555412137347</v>
      </c>
    </row>
    <row r="42" spans="1:5" x14ac:dyDescent="0.2">
      <c r="A42" s="6">
        <f>Data!A42</f>
        <v>489</v>
      </c>
      <c r="B42" s="6">
        <f>Data!B42</f>
        <v>0.2262770453156685</v>
      </c>
      <c r="C42" s="6">
        <f>Data!C42</f>
        <v>2.1208683258718216E-2</v>
      </c>
      <c r="D42" s="7">
        <f t="shared" si="0"/>
        <v>0.24748572857438672</v>
      </c>
      <c r="E42" s="7">
        <f t="shared" si="1"/>
        <v>0.20506836205695028</v>
      </c>
    </row>
    <row r="43" spans="1:5" x14ac:dyDescent="0.2">
      <c r="A43" s="6">
        <f>Data!A43</f>
        <v>490</v>
      </c>
      <c r="B43" s="6">
        <f>Data!B43</f>
        <v>0.25147772826335113</v>
      </c>
      <c r="C43" s="6">
        <f>Data!C43</f>
        <v>2.2429576125985472E-2</v>
      </c>
      <c r="D43" s="7">
        <f t="shared" si="0"/>
        <v>0.27390730438933658</v>
      </c>
      <c r="E43" s="7">
        <f t="shared" si="1"/>
        <v>0.22904815213736565</v>
      </c>
    </row>
    <row r="44" spans="1:5" x14ac:dyDescent="0.2">
      <c r="A44" s="6">
        <f>Data!A44</f>
        <v>491</v>
      </c>
      <c r="B44" s="6">
        <f>Data!B44</f>
        <v>0.27908916337989936</v>
      </c>
      <c r="C44" s="6">
        <f>Data!C44</f>
        <v>2.3703419225038096E-2</v>
      </c>
      <c r="D44" s="7">
        <f t="shared" si="0"/>
        <v>0.30279258260493747</v>
      </c>
      <c r="E44" s="7">
        <f t="shared" si="1"/>
        <v>0.25538574415486126</v>
      </c>
    </row>
    <row r="45" spans="1:5" x14ac:dyDescent="0.2">
      <c r="A45" s="6">
        <f>Data!A45</f>
        <v>492</v>
      </c>
      <c r="B45" s="6">
        <f>Data!B45</f>
        <v>0.30848522681995699</v>
      </c>
      <c r="C45" s="6">
        <f>Data!C45</f>
        <v>2.4981204708897913E-2</v>
      </c>
      <c r="D45" s="7">
        <f t="shared" si="0"/>
        <v>0.33346643152885491</v>
      </c>
      <c r="E45" s="7">
        <f t="shared" si="1"/>
        <v>0.28350402211105907</v>
      </c>
    </row>
    <row r="46" spans="1:5" x14ac:dyDescent="0.2">
      <c r="A46" s="6">
        <f>Data!A46</f>
        <v>493</v>
      </c>
      <c r="B46" s="6">
        <f>Data!B46</f>
        <v>0.34165213045944576</v>
      </c>
      <c r="C46" s="6">
        <f>Data!C46</f>
        <v>2.6416053782298006E-2</v>
      </c>
      <c r="D46" s="7">
        <f t="shared" si="0"/>
        <v>0.36806818424174376</v>
      </c>
      <c r="E46" s="7">
        <f t="shared" si="1"/>
        <v>0.31523607667714776</v>
      </c>
    </row>
    <row r="47" spans="1:5" x14ac:dyDescent="0.2">
      <c r="A47" s="6">
        <f>Data!A47</f>
        <v>494</v>
      </c>
      <c r="B47" s="6">
        <f>Data!B47</f>
        <v>0.37789747579450383</v>
      </c>
      <c r="C47" s="6">
        <f>Data!C47</f>
        <v>2.793876069724294E-2</v>
      </c>
      <c r="D47" s="7">
        <f t="shared" si="0"/>
        <v>0.40583623649174677</v>
      </c>
      <c r="E47" s="7">
        <f t="shared" si="1"/>
        <v>0.3499587150972609</v>
      </c>
    </row>
    <row r="48" spans="1:5" x14ac:dyDescent="0.2">
      <c r="A48" s="6">
        <f>Data!A48</f>
        <v>495</v>
      </c>
      <c r="B48" s="6">
        <f>Data!B48</f>
        <v>0.41419128298679148</v>
      </c>
      <c r="C48" s="6">
        <f>Data!C48</f>
        <v>2.9346387557024286E-2</v>
      </c>
      <c r="D48" s="7">
        <f t="shared" si="0"/>
        <v>0.44353767054381577</v>
      </c>
      <c r="E48" s="7">
        <f t="shared" si="1"/>
        <v>0.38484489542976719</v>
      </c>
    </row>
    <row r="49" spans="1:5" x14ac:dyDescent="0.2">
      <c r="A49" s="6">
        <f>Data!A49</f>
        <v>496</v>
      </c>
      <c r="B49" s="6">
        <f>Data!B49</f>
        <v>0.45610444822077123</v>
      </c>
      <c r="C49" s="6">
        <f>Data!C49</f>
        <v>3.1014310538660536E-2</v>
      </c>
      <c r="D49" s="7">
        <f t="shared" si="0"/>
        <v>0.48711875875943178</v>
      </c>
      <c r="E49" s="7">
        <f t="shared" si="1"/>
        <v>0.42509013768211068</v>
      </c>
    </row>
    <row r="50" spans="1:5" x14ac:dyDescent="0.2">
      <c r="A50" s="6">
        <f>Data!A50</f>
        <v>497</v>
      </c>
      <c r="B50" s="6">
        <f>Data!B50</f>
        <v>0.50037792883188903</v>
      </c>
      <c r="C50" s="6">
        <f>Data!C50</f>
        <v>3.2715364162051841E-2</v>
      </c>
      <c r="D50" s="7">
        <f t="shared" si="0"/>
        <v>0.53309329299394093</v>
      </c>
      <c r="E50" s="7">
        <f t="shared" si="1"/>
        <v>0.46766256466983719</v>
      </c>
    </row>
    <row r="51" spans="1:5" x14ac:dyDescent="0.2">
      <c r="A51" s="6">
        <f>Data!A51</f>
        <v>498</v>
      </c>
      <c r="B51" s="6">
        <f>Data!B51</f>
        <v>0.54413494574140897</v>
      </c>
      <c r="C51" s="6">
        <f>Data!C51</f>
        <v>3.4284199373360705E-2</v>
      </c>
      <c r="D51" s="7">
        <f t="shared" si="0"/>
        <v>0.57841914511476966</v>
      </c>
      <c r="E51" s="7">
        <f t="shared" si="1"/>
        <v>0.50985074636804828</v>
      </c>
    </row>
    <row r="52" spans="1:5" x14ac:dyDescent="0.2">
      <c r="A52" s="6">
        <f>Data!A52</f>
        <v>499</v>
      </c>
      <c r="B52" s="6">
        <f>Data!B52</f>
        <v>0.59087560905460157</v>
      </c>
      <c r="C52" s="6">
        <f>Data!C52</f>
        <v>3.5958413403670647E-2</v>
      </c>
      <c r="D52" s="7">
        <f t="shared" si="0"/>
        <v>0.62683402245827224</v>
      </c>
      <c r="E52" s="7">
        <f t="shared" si="1"/>
        <v>0.55491719565093089</v>
      </c>
    </row>
    <row r="53" spans="1:5" x14ac:dyDescent="0.2">
      <c r="A53" s="6">
        <f>Data!A53</f>
        <v>500</v>
      </c>
      <c r="B53" s="6">
        <f>Data!B53</f>
        <v>0.63734893511261492</v>
      </c>
      <c r="C53" s="6">
        <f>Data!C53</f>
        <v>3.7512776298036739E-2</v>
      </c>
      <c r="D53" s="7">
        <f t="shared" si="0"/>
        <v>0.67486171141065165</v>
      </c>
      <c r="E53" s="7">
        <f t="shared" si="1"/>
        <v>0.59983615881457819</v>
      </c>
    </row>
    <row r="54" spans="1:5" x14ac:dyDescent="0.2">
      <c r="A54" s="6">
        <f>Data!A54</f>
        <v>501</v>
      </c>
      <c r="B54" s="6">
        <f>Data!B54</f>
        <v>0.68011300950304732</v>
      </c>
      <c r="C54" s="6">
        <f>Data!C54</f>
        <v>3.8795660507035881E-2</v>
      </c>
      <c r="D54" s="7">
        <f t="shared" si="0"/>
        <v>0.71890867001008318</v>
      </c>
      <c r="E54" s="7">
        <f t="shared" si="1"/>
        <v>0.64131734899601145</v>
      </c>
    </row>
    <row r="55" spans="1:5" x14ac:dyDescent="0.2">
      <c r="A55" s="6">
        <f>Data!A55</f>
        <v>502</v>
      </c>
      <c r="B55" s="6">
        <f>Data!B55</f>
        <v>0.72157821532078426</v>
      </c>
      <c r="C55" s="6">
        <f>Data!C55</f>
        <v>3.9948457073111968E-2</v>
      </c>
      <c r="D55" s="7">
        <f t="shared" si="0"/>
        <v>0.76152667239389626</v>
      </c>
      <c r="E55" s="7">
        <f t="shared" si="1"/>
        <v>0.68162975824767225</v>
      </c>
    </row>
    <row r="56" spans="1:5" x14ac:dyDescent="0.2">
      <c r="A56" s="6">
        <f>Data!A56</f>
        <v>503</v>
      </c>
      <c r="B56" s="6">
        <f>Data!B56</f>
        <v>0.75874433466197999</v>
      </c>
      <c r="C56" s="6">
        <f>Data!C56</f>
        <v>4.0840047828927022E-2</v>
      </c>
      <c r="D56" s="7">
        <f t="shared" si="0"/>
        <v>0.79958438249090702</v>
      </c>
      <c r="E56" s="7">
        <f t="shared" si="1"/>
        <v>0.71790428683305296</v>
      </c>
    </row>
    <row r="57" spans="1:5" x14ac:dyDescent="0.2">
      <c r="A57" s="6">
        <f>Data!A57</f>
        <v>504</v>
      </c>
      <c r="B57" s="6">
        <f>Data!B57</f>
        <v>0.79017516852349912</v>
      </c>
      <c r="C57" s="6">
        <f>Data!C57</f>
        <v>4.1407047678808213E-2</v>
      </c>
      <c r="D57" s="7">
        <f t="shared" si="0"/>
        <v>0.83158221620230732</v>
      </c>
      <c r="E57" s="7">
        <f t="shared" si="1"/>
        <v>0.74876812084469091</v>
      </c>
    </row>
    <row r="58" spans="1:5" x14ac:dyDescent="0.2">
      <c r="A58" s="6">
        <f>Data!A58</f>
        <v>505</v>
      </c>
      <c r="B58" s="6">
        <f>Data!B58</f>
        <v>0.81728528668047606</v>
      </c>
      <c r="C58" s="6">
        <f>Data!C58</f>
        <v>4.1749652710570705E-2</v>
      </c>
      <c r="D58" s="7">
        <f t="shared" si="0"/>
        <v>0.8590349393910468</v>
      </c>
      <c r="E58" s="7">
        <f t="shared" si="1"/>
        <v>0.77553563396990532</v>
      </c>
    </row>
    <row r="59" spans="1:5" x14ac:dyDescent="0.2">
      <c r="A59" s="6">
        <f>Data!A59</f>
        <v>506</v>
      </c>
      <c r="B59" s="6">
        <f>Data!B59</f>
        <v>0.83725102431146325</v>
      </c>
      <c r="C59" s="6">
        <f>Data!C59</f>
        <v>4.1719667677226992E-2</v>
      </c>
      <c r="D59" s="7">
        <f t="shared" si="0"/>
        <v>0.87897069198869027</v>
      </c>
      <c r="E59" s="7">
        <f t="shared" si="1"/>
        <v>0.79553135663423624</v>
      </c>
    </row>
    <row r="60" spans="1:5" x14ac:dyDescent="0.2">
      <c r="A60" s="6">
        <f>Data!A60</f>
        <v>507</v>
      </c>
      <c r="B60" s="6">
        <f>Data!B60</f>
        <v>0.85185028144420916</v>
      </c>
      <c r="C60" s="6">
        <f>Data!C60</f>
        <v>4.1431554695665819E-2</v>
      </c>
      <c r="D60" s="7">
        <f t="shared" si="0"/>
        <v>0.893281836139875</v>
      </c>
      <c r="E60" s="7">
        <f t="shared" si="1"/>
        <v>0.81041872674854332</v>
      </c>
    </row>
    <row r="61" spans="1:5" x14ac:dyDescent="0.2">
      <c r="A61" s="6">
        <f>Data!A61</f>
        <v>508</v>
      </c>
      <c r="B61" s="6">
        <f>Data!B61</f>
        <v>0.86168955571385197</v>
      </c>
      <c r="C61" s="6">
        <f>Data!C61</f>
        <v>4.0949321969231706E-2</v>
      </c>
      <c r="D61" s="7">
        <f t="shared" si="0"/>
        <v>0.90263887768308371</v>
      </c>
      <c r="E61" s="7">
        <f t="shared" si="1"/>
        <v>0.82074023374462024</v>
      </c>
    </row>
    <row r="62" spans="1:5" x14ac:dyDescent="0.2">
      <c r="A62" s="6">
        <f>Data!A62</f>
        <v>509</v>
      </c>
      <c r="B62" s="6">
        <f>Data!B62</f>
        <v>0.86624178152802633</v>
      </c>
      <c r="C62" s="6">
        <f>Data!C62</f>
        <v>4.0226879116812449E-2</v>
      </c>
      <c r="D62" s="7">
        <f t="shared" si="0"/>
        <v>0.90646866064483878</v>
      </c>
      <c r="E62" s="7">
        <f t="shared" si="1"/>
        <v>0.82601490241121389</v>
      </c>
    </row>
    <row r="63" spans="1:5" x14ac:dyDescent="0.2">
      <c r="A63" s="6">
        <f>Data!A63</f>
        <v>510</v>
      </c>
      <c r="B63" s="6">
        <f>Data!B63</f>
        <v>0.86838981182617336</v>
      </c>
      <c r="C63" s="6">
        <f>Data!C63</f>
        <v>3.9419634467712274E-2</v>
      </c>
      <c r="D63" s="7">
        <f t="shared" si="0"/>
        <v>0.9078094462938856</v>
      </c>
      <c r="E63" s="7">
        <f t="shared" si="1"/>
        <v>0.82897017735846112</v>
      </c>
    </row>
    <row r="64" spans="1:5" x14ac:dyDescent="0.2">
      <c r="A64" s="6">
        <f>Data!A64</f>
        <v>511</v>
      </c>
      <c r="B64" s="6">
        <f>Data!B64</f>
        <v>0.86641031341547237</v>
      </c>
      <c r="C64" s="6">
        <f>Data!C64</f>
        <v>3.8478823497338492E-2</v>
      </c>
      <c r="D64" s="7">
        <f t="shared" si="0"/>
        <v>0.90488913691281081</v>
      </c>
      <c r="E64" s="7">
        <f t="shared" si="1"/>
        <v>0.82793148991813392</v>
      </c>
    </row>
    <row r="65" spans="1:5" x14ac:dyDescent="0.2">
      <c r="A65" s="6">
        <f>Data!A65</f>
        <v>512</v>
      </c>
      <c r="B65" s="6">
        <f>Data!B65</f>
        <v>0.86443995716090105</v>
      </c>
      <c r="C65" s="6">
        <f>Data!C65</f>
        <v>3.7549291938011535E-2</v>
      </c>
      <c r="D65" s="7">
        <f t="shared" si="0"/>
        <v>0.90198924909891254</v>
      </c>
      <c r="E65" s="7">
        <f t="shared" si="1"/>
        <v>0.82689066522288956</v>
      </c>
    </row>
    <row r="66" spans="1:5" x14ac:dyDescent="0.2">
      <c r="A66" s="6">
        <f>Data!A66</f>
        <v>513</v>
      </c>
      <c r="B66" s="6">
        <f>Data!B66</f>
        <v>0.86063925827637799</v>
      </c>
      <c r="C66" s="6">
        <f>Data!C66</f>
        <v>3.659444269563749E-2</v>
      </c>
      <c r="D66" s="7">
        <f t="shared" si="0"/>
        <v>0.89723370097201549</v>
      </c>
      <c r="E66" s="7">
        <f t="shared" si="1"/>
        <v>0.8240448155807405</v>
      </c>
    </row>
    <row r="67" spans="1:5" x14ac:dyDescent="0.2">
      <c r="A67" s="6">
        <f>Data!A67</f>
        <v>514</v>
      </c>
      <c r="B67" s="6">
        <f>Data!B67</f>
        <v>0.86069458403698984</v>
      </c>
      <c r="C67" s="6">
        <f>Data!C67</f>
        <v>3.583162548540348E-2</v>
      </c>
      <c r="D67" s="7">
        <f t="shared" si="0"/>
        <v>0.89652620952239337</v>
      </c>
      <c r="E67" s="7">
        <f t="shared" si="1"/>
        <v>0.82486295855158631</v>
      </c>
    </row>
    <row r="68" spans="1:5" x14ac:dyDescent="0.2">
      <c r="A68" s="6">
        <f>Data!A68</f>
        <v>515</v>
      </c>
      <c r="B68" s="6">
        <f>Data!B68</f>
        <v>0.86286898434255443</v>
      </c>
      <c r="C68" s="6">
        <f>Data!C68</f>
        <v>3.5187165556659329E-2</v>
      </c>
      <c r="D68" s="7">
        <f t="shared" ref="D68:D131" si="2">B68+C68</f>
        <v>0.89805614989921378</v>
      </c>
      <c r="E68" s="7">
        <f t="shared" ref="E68:E131" si="3">B68-C68</f>
        <v>0.82768181878589508</v>
      </c>
    </row>
    <row r="69" spans="1:5" x14ac:dyDescent="0.2">
      <c r="A69" s="6">
        <f>Data!A69</f>
        <v>516</v>
      </c>
      <c r="B69" s="6">
        <f>Data!B69</f>
        <v>0.86864176098992707</v>
      </c>
      <c r="C69" s="6">
        <f>Data!C69</f>
        <v>3.4729444772407775E-2</v>
      </c>
      <c r="D69" s="7">
        <f t="shared" si="2"/>
        <v>0.90337120576233487</v>
      </c>
      <c r="E69" s="7">
        <f t="shared" si="3"/>
        <v>0.83391231621751927</v>
      </c>
    </row>
    <row r="70" spans="1:5" x14ac:dyDescent="0.2">
      <c r="A70" s="6">
        <f>Data!A70</f>
        <v>517</v>
      </c>
      <c r="B70" s="6">
        <f>Data!B70</f>
        <v>0.87824228502057933</v>
      </c>
      <c r="C70" s="6">
        <f>Data!C70</f>
        <v>3.4464775390888845E-2</v>
      </c>
      <c r="D70" s="7">
        <f t="shared" si="2"/>
        <v>0.91270706041146821</v>
      </c>
      <c r="E70" s="7">
        <f t="shared" si="3"/>
        <v>0.84377750962969045</v>
      </c>
    </row>
    <row r="71" spans="1:5" x14ac:dyDescent="0.2">
      <c r="A71" s="6">
        <f>Data!A71</f>
        <v>518</v>
      </c>
      <c r="B71" s="6">
        <f>Data!B71</f>
        <v>0.89027704892259363</v>
      </c>
      <c r="C71" s="6">
        <f>Data!C71</f>
        <v>3.4334068465434672E-2</v>
      </c>
      <c r="D71" s="7">
        <f t="shared" si="2"/>
        <v>0.92461111738802826</v>
      </c>
      <c r="E71" s="7">
        <f t="shared" si="3"/>
        <v>0.855942980457159</v>
      </c>
    </row>
    <row r="72" spans="1:5" x14ac:dyDescent="0.2">
      <c r="A72" s="6">
        <f>Data!A72</f>
        <v>519</v>
      </c>
      <c r="B72" s="6">
        <f>Data!B72</f>
        <v>0.90507173844872679</v>
      </c>
      <c r="C72" s="6">
        <f>Data!C72</f>
        <v>3.4361016456495606E-2</v>
      </c>
      <c r="D72" s="7">
        <f t="shared" si="2"/>
        <v>0.93943275490522238</v>
      </c>
      <c r="E72" s="7">
        <f t="shared" si="3"/>
        <v>0.87071072199223121</v>
      </c>
    </row>
    <row r="73" spans="1:5" x14ac:dyDescent="0.2">
      <c r="A73" s="6">
        <f>Data!A73</f>
        <v>520</v>
      </c>
      <c r="B73" s="6">
        <f>Data!B73</f>
        <v>0.92175559362474857</v>
      </c>
      <c r="C73" s="6">
        <f>Data!C73</f>
        <v>3.4516851499418418E-2</v>
      </c>
      <c r="D73" s="7">
        <f t="shared" si="2"/>
        <v>0.95627244512416698</v>
      </c>
      <c r="E73" s="7">
        <f t="shared" si="3"/>
        <v>0.88723874212533016</v>
      </c>
    </row>
    <row r="74" spans="1:5" x14ac:dyDescent="0.2">
      <c r="A74" s="6">
        <f>Data!A74</f>
        <v>521</v>
      </c>
      <c r="B74" s="6">
        <f>Data!B74</f>
        <v>0.94092729206281667</v>
      </c>
      <c r="C74" s="6">
        <f>Data!C74</f>
        <v>3.483231408403533E-2</v>
      </c>
      <c r="D74" s="7">
        <f t="shared" si="2"/>
        <v>0.97575960614685198</v>
      </c>
      <c r="E74" s="7">
        <f t="shared" si="3"/>
        <v>0.90609497797878136</v>
      </c>
    </row>
    <row r="75" spans="1:5" x14ac:dyDescent="0.2">
      <c r="A75" s="6">
        <f>Data!A75</f>
        <v>522</v>
      </c>
      <c r="B75" s="6">
        <f>Data!B75</f>
        <v>0.95957803438089839</v>
      </c>
      <c r="C75" s="6">
        <f>Data!C75</f>
        <v>3.5206359847941501E-2</v>
      </c>
      <c r="D75" s="7">
        <f t="shared" si="2"/>
        <v>0.99478439422883991</v>
      </c>
      <c r="E75" s="7">
        <f t="shared" si="3"/>
        <v>0.92437167453295688</v>
      </c>
    </row>
    <row r="76" spans="1:5" x14ac:dyDescent="0.2">
      <c r="A76" s="6">
        <f>Data!A76</f>
        <v>523</v>
      </c>
      <c r="B76" s="6">
        <f>Data!B76</f>
        <v>0.97530132110469581</v>
      </c>
      <c r="C76" s="6">
        <f>Data!C76</f>
        <v>3.5557991423841528E-2</v>
      </c>
      <c r="D76" s="7">
        <f t="shared" si="2"/>
        <v>1.0108593125285372</v>
      </c>
      <c r="E76" s="7">
        <f t="shared" si="3"/>
        <v>0.93974332968085428</v>
      </c>
    </row>
    <row r="77" spans="1:5" x14ac:dyDescent="0.2">
      <c r="A77" s="6">
        <f>Data!A77</f>
        <v>524</v>
      </c>
      <c r="B77" s="6">
        <f>Data!B77</f>
        <v>0.98827582570749828</v>
      </c>
      <c r="C77" s="6">
        <f>Data!C77</f>
        <v>3.5905773127474727E-2</v>
      </c>
      <c r="D77" s="7">
        <f t="shared" si="2"/>
        <v>1.024181598834973</v>
      </c>
      <c r="E77" s="7">
        <f t="shared" si="3"/>
        <v>0.95237005258002361</v>
      </c>
    </row>
    <row r="78" spans="1:5" x14ac:dyDescent="0.2">
      <c r="A78" s="6">
        <f>Data!A78</f>
        <v>525</v>
      </c>
      <c r="B78" s="6">
        <f>Data!B78</f>
        <v>0.9971976318988609</v>
      </c>
      <c r="C78" s="6">
        <f>Data!C78</f>
        <v>3.6203383681049445E-2</v>
      </c>
      <c r="D78" s="7">
        <f t="shared" si="2"/>
        <v>1.0334010155799103</v>
      </c>
      <c r="E78" s="7">
        <f t="shared" si="3"/>
        <v>0.96099424821781143</v>
      </c>
    </row>
    <row r="79" spans="1:5" x14ac:dyDescent="0.2">
      <c r="A79" s="6">
        <f>Data!A79</f>
        <v>526</v>
      </c>
      <c r="B79" s="6">
        <f>Data!B79</f>
        <v>1</v>
      </c>
      <c r="C79" s="6">
        <f>Data!C79</f>
        <v>3.6370825391991705E-2</v>
      </c>
      <c r="D79" s="7">
        <f t="shared" si="2"/>
        <v>1.0363708253919917</v>
      </c>
      <c r="E79" s="7">
        <f t="shared" si="3"/>
        <v>0.96362917460800834</v>
      </c>
    </row>
    <row r="80" spans="1:5" x14ac:dyDescent="0.2">
      <c r="A80" s="6">
        <f>Data!A80</f>
        <v>527</v>
      </c>
      <c r="B80" s="6">
        <f>Data!B80</f>
        <v>0.99842900861775108</v>
      </c>
      <c r="C80" s="6">
        <f>Data!C80</f>
        <v>3.6465430989922089E-2</v>
      </c>
      <c r="D80" s="7">
        <f t="shared" si="2"/>
        <v>1.0348944396076731</v>
      </c>
      <c r="E80" s="7">
        <f t="shared" si="3"/>
        <v>0.96196357762782903</v>
      </c>
    </row>
    <row r="81" spans="1:5" x14ac:dyDescent="0.2">
      <c r="A81" s="6">
        <f>Data!A81</f>
        <v>528</v>
      </c>
      <c r="B81" s="6">
        <f>Data!B81</f>
        <v>0.99232454571583728</v>
      </c>
      <c r="C81" s="6">
        <f>Data!C81</f>
        <v>3.6467736969370119E-2</v>
      </c>
      <c r="D81" s="7">
        <f t="shared" si="2"/>
        <v>1.0287922826852074</v>
      </c>
      <c r="E81" s="7">
        <f t="shared" si="3"/>
        <v>0.95585680874646717</v>
      </c>
    </row>
    <row r="82" spans="1:5" x14ac:dyDescent="0.2">
      <c r="A82" s="6">
        <f>Data!A82</f>
        <v>529</v>
      </c>
      <c r="B82" s="6">
        <f>Data!B82</f>
        <v>0.97975081944873721</v>
      </c>
      <c r="C82" s="6">
        <f>Data!C82</f>
        <v>3.6290075919428566E-2</v>
      </c>
      <c r="D82" s="7">
        <f t="shared" si="2"/>
        <v>1.0160408953681657</v>
      </c>
      <c r="E82" s="7">
        <f t="shared" si="3"/>
        <v>0.94346074352930864</v>
      </c>
    </row>
    <row r="83" spans="1:5" x14ac:dyDescent="0.2">
      <c r="A83" s="6">
        <f>Data!A83</f>
        <v>530</v>
      </c>
      <c r="B83" s="6">
        <f>Data!B83</f>
        <v>0.96305577405183629</v>
      </c>
      <c r="C83" s="6">
        <f>Data!C83</f>
        <v>3.600055377621221E-2</v>
      </c>
      <c r="D83" s="7">
        <f t="shared" si="2"/>
        <v>0.99905632782804854</v>
      </c>
      <c r="E83" s="7">
        <f t="shared" si="3"/>
        <v>0.92705522027562404</v>
      </c>
    </row>
    <row r="84" spans="1:5" x14ac:dyDescent="0.2">
      <c r="A84" s="6">
        <f>Data!A84</f>
        <v>531</v>
      </c>
      <c r="B84" s="6">
        <f>Data!B84</f>
        <v>0.94567841960507515</v>
      </c>
      <c r="C84" s="6">
        <f>Data!C84</f>
        <v>3.5706295671127312E-2</v>
      </c>
      <c r="D84" s="7">
        <f t="shared" si="2"/>
        <v>0.98138471527620241</v>
      </c>
      <c r="E84" s="7">
        <f t="shared" si="3"/>
        <v>0.90997212393394789</v>
      </c>
    </row>
    <row r="85" spans="1:5" x14ac:dyDescent="0.2">
      <c r="A85" s="6">
        <f>Data!A85</f>
        <v>532</v>
      </c>
      <c r="B85" s="6">
        <f>Data!B85</f>
        <v>0.92308471695500594</v>
      </c>
      <c r="C85" s="6">
        <f>Data!C85</f>
        <v>3.5225138725597398E-2</v>
      </c>
      <c r="D85" s="7">
        <f t="shared" si="2"/>
        <v>0.95830985568060334</v>
      </c>
      <c r="E85" s="7">
        <f t="shared" si="3"/>
        <v>0.88785957822940853</v>
      </c>
    </row>
    <row r="86" spans="1:5" x14ac:dyDescent="0.2">
      <c r="A86" s="6">
        <f>Data!A86</f>
        <v>533</v>
      </c>
      <c r="B86" s="6">
        <f>Data!B86</f>
        <v>0.89894754643252284</v>
      </c>
      <c r="C86" s="6">
        <f>Data!C86</f>
        <v>3.4676599231631113E-2</v>
      </c>
      <c r="D86" s="7">
        <f t="shared" si="2"/>
        <v>0.93362414566415397</v>
      </c>
      <c r="E86" s="7">
        <f t="shared" si="3"/>
        <v>0.8642709472008917</v>
      </c>
    </row>
    <row r="87" spans="1:5" x14ac:dyDescent="0.2">
      <c r="A87" s="6">
        <f>Data!A87</f>
        <v>534</v>
      </c>
      <c r="B87" s="6">
        <f>Data!B87</f>
        <v>0.87481270770594566</v>
      </c>
      <c r="C87" s="6">
        <f>Data!C87</f>
        <v>3.4106973461160123E-2</v>
      </c>
      <c r="D87" s="7">
        <f t="shared" si="2"/>
        <v>0.90891968116710575</v>
      </c>
      <c r="E87" s="7">
        <f t="shared" si="3"/>
        <v>0.84070573424478556</v>
      </c>
    </row>
    <row r="88" spans="1:5" x14ac:dyDescent="0.2">
      <c r="A88" s="6">
        <f>Data!A88</f>
        <v>535</v>
      </c>
      <c r="B88" s="6">
        <f>Data!B88</f>
        <v>0.85042270750760518</v>
      </c>
      <c r="C88" s="6">
        <f>Data!C88</f>
        <v>3.3500257101970896E-2</v>
      </c>
      <c r="D88" s="7">
        <f t="shared" si="2"/>
        <v>0.88392296460957609</v>
      </c>
      <c r="E88" s="7">
        <f t="shared" si="3"/>
        <v>0.81692245040563427</v>
      </c>
    </row>
    <row r="89" spans="1:5" x14ac:dyDescent="0.2">
      <c r="A89" s="6">
        <f>Data!A89</f>
        <v>536</v>
      </c>
      <c r="B89" s="6">
        <f>Data!B89</f>
        <v>0.82749150107097968</v>
      </c>
      <c r="C89" s="6">
        <f>Data!C89</f>
        <v>3.2921667689169945E-2</v>
      </c>
      <c r="D89" s="7">
        <f t="shared" si="2"/>
        <v>0.86041316876014962</v>
      </c>
      <c r="E89" s="7">
        <f t="shared" si="3"/>
        <v>0.79456983338180975</v>
      </c>
    </row>
    <row r="90" spans="1:5" x14ac:dyDescent="0.2">
      <c r="A90" s="6">
        <f>Data!A90</f>
        <v>537</v>
      </c>
      <c r="B90" s="6">
        <f>Data!B90</f>
        <v>0.80380207071478904</v>
      </c>
      <c r="C90" s="6">
        <f>Data!C90</f>
        <v>3.2274852743745953E-2</v>
      </c>
      <c r="D90" s="7">
        <f t="shared" si="2"/>
        <v>0.83607692345853502</v>
      </c>
      <c r="E90" s="7">
        <f t="shared" si="3"/>
        <v>0.77152721797104307</v>
      </c>
    </row>
    <row r="91" spans="1:5" x14ac:dyDescent="0.2">
      <c r="A91" s="6">
        <f>Data!A91</f>
        <v>538</v>
      </c>
      <c r="B91" s="6">
        <f>Data!B91</f>
        <v>0.78283597504549118</v>
      </c>
      <c r="C91" s="6">
        <f>Data!C91</f>
        <v>3.1702273098611365E-2</v>
      </c>
      <c r="D91" s="7">
        <f t="shared" si="2"/>
        <v>0.81453824814410258</v>
      </c>
      <c r="E91" s="7">
        <f t="shared" si="3"/>
        <v>0.75113370194687978</v>
      </c>
    </row>
    <row r="92" spans="1:5" x14ac:dyDescent="0.2">
      <c r="A92" s="6">
        <f>Data!A92</f>
        <v>539</v>
      </c>
      <c r="B92" s="6">
        <f>Data!B92</f>
        <v>0.76392312776044258</v>
      </c>
      <c r="C92" s="6">
        <f>Data!C92</f>
        <v>3.1173046502500839E-2</v>
      </c>
      <c r="D92" s="7">
        <f t="shared" si="2"/>
        <v>0.79509617426294343</v>
      </c>
      <c r="E92" s="7">
        <f t="shared" si="3"/>
        <v>0.73275008125794172</v>
      </c>
    </row>
    <row r="93" spans="1:5" x14ac:dyDescent="0.2">
      <c r="A93" s="6">
        <f>Data!A93</f>
        <v>540</v>
      </c>
      <c r="B93" s="6">
        <f>Data!B93</f>
        <v>0.74702827236581981</v>
      </c>
      <c r="C93" s="6">
        <f>Data!C93</f>
        <v>3.0694886760851612E-2</v>
      </c>
      <c r="D93" s="7">
        <f t="shared" si="2"/>
        <v>0.77772315912667145</v>
      </c>
      <c r="E93" s="7">
        <f t="shared" si="3"/>
        <v>0.71633338560496818</v>
      </c>
    </row>
    <row r="94" spans="1:5" x14ac:dyDescent="0.2">
      <c r="A94" s="6">
        <f>Data!A94</f>
        <v>541</v>
      </c>
      <c r="B94" s="6">
        <f>Data!B94</f>
        <v>0.73452824052815013</v>
      </c>
      <c r="C94" s="6">
        <f>Data!C94</f>
        <v>3.0366292112022356E-2</v>
      </c>
      <c r="D94" s="7">
        <f t="shared" si="2"/>
        <v>0.76489453264017249</v>
      </c>
      <c r="E94" s="7">
        <f t="shared" si="3"/>
        <v>0.70416194841612778</v>
      </c>
    </row>
    <row r="95" spans="1:5" x14ac:dyDescent="0.2">
      <c r="A95" s="6">
        <f>Data!A95</f>
        <v>542</v>
      </c>
      <c r="B95" s="6">
        <f>Data!B95</f>
        <v>0.7219532738846397</v>
      </c>
      <c r="C95" s="6">
        <f>Data!C95</f>
        <v>3.0012583617057997E-2</v>
      </c>
      <c r="D95" s="7">
        <f t="shared" si="2"/>
        <v>0.75196585750169764</v>
      </c>
      <c r="E95" s="7">
        <f t="shared" si="3"/>
        <v>0.69194069026758176</v>
      </c>
    </row>
    <row r="96" spans="1:5" x14ac:dyDescent="0.2">
      <c r="A96" s="6">
        <f>Data!A96</f>
        <v>543</v>
      </c>
      <c r="B96" s="6">
        <f>Data!B96</f>
        <v>0.7115711686791627</v>
      </c>
      <c r="C96" s="6">
        <f>Data!C96</f>
        <v>2.9724520603140302E-2</v>
      </c>
      <c r="D96" s="7">
        <f t="shared" si="2"/>
        <v>0.74129568928230305</v>
      </c>
      <c r="E96" s="7">
        <f t="shared" si="3"/>
        <v>0.68184664807602235</v>
      </c>
    </row>
    <row r="97" spans="1:5" x14ac:dyDescent="0.2">
      <c r="A97" s="6">
        <f>Data!A97</f>
        <v>544</v>
      </c>
      <c r="B97" s="6">
        <f>Data!B97</f>
        <v>0.70359283045768262</v>
      </c>
      <c r="C97" s="6">
        <f>Data!C97</f>
        <v>2.9516672998803124E-2</v>
      </c>
      <c r="D97" s="7">
        <f t="shared" si="2"/>
        <v>0.73310950345648573</v>
      </c>
      <c r="E97" s="7">
        <f t="shared" si="3"/>
        <v>0.6740761574588795</v>
      </c>
    </row>
    <row r="98" spans="1:5" x14ac:dyDescent="0.2">
      <c r="A98" s="6">
        <f>Data!A98</f>
        <v>545</v>
      </c>
      <c r="B98" s="6">
        <f>Data!B98</f>
        <v>0.69682376235324361</v>
      </c>
      <c r="C98" s="6">
        <f>Data!C98</f>
        <v>2.9344846325719119E-2</v>
      </c>
      <c r="D98" s="7">
        <f t="shared" si="2"/>
        <v>0.72616860867896271</v>
      </c>
      <c r="E98" s="7">
        <f t="shared" si="3"/>
        <v>0.66747891602752452</v>
      </c>
    </row>
    <row r="99" spans="1:5" x14ac:dyDescent="0.2">
      <c r="A99" s="6">
        <f>Data!A99</f>
        <v>546</v>
      </c>
      <c r="B99" s="6">
        <f>Data!B99</f>
        <v>0.6914886967866346</v>
      </c>
      <c r="C99" s="6">
        <f>Data!C99</f>
        <v>2.923187780584189E-2</v>
      </c>
      <c r="D99" s="7">
        <f t="shared" si="2"/>
        <v>0.72072057459247652</v>
      </c>
      <c r="E99" s="7">
        <f t="shared" si="3"/>
        <v>0.66225681898079269</v>
      </c>
    </row>
    <row r="100" spans="1:5" x14ac:dyDescent="0.2">
      <c r="A100" s="6">
        <f>Data!A100</f>
        <v>547</v>
      </c>
      <c r="B100" s="6">
        <f>Data!B100</f>
        <v>0.68517791134413641</v>
      </c>
      <c r="C100" s="6">
        <f>Data!C100</f>
        <v>2.9063275033569914E-2</v>
      </c>
      <c r="D100" s="7">
        <f t="shared" si="2"/>
        <v>0.71424118637770628</v>
      </c>
      <c r="E100" s="7">
        <f t="shared" si="3"/>
        <v>0.65611463631056655</v>
      </c>
    </row>
    <row r="101" spans="1:5" x14ac:dyDescent="0.2">
      <c r="A101" s="6">
        <f>Data!A101</f>
        <v>548</v>
      </c>
      <c r="B101" s="6">
        <f>Data!B101</f>
        <v>0.67929979368211968</v>
      </c>
      <c r="C101" s="6">
        <f>Data!C101</f>
        <v>2.8916270727343769E-2</v>
      </c>
      <c r="D101" s="7">
        <f t="shared" si="2"/>
        <v>0.7082160644094635</v>
      </c>
      <c r="E101" s="7">
        <f t="shared" si="3"/>
        <v>0.65038352295477586</v>
      </c>
    </row>
    <row r="102" spans="1:5" x14ac:dyDescent="0.2">
      <c r="A102" s="6">
        <f>Data!A102</f>
        <v>549</v>
      </c>
      <c r="B102" s="6">
        <f>Data!B102</f>
        <v>0.67193702997059512</v>
      </c>
      <c r="C102" s="6">
        <f>Data!C102</f>
        <v>2.8703643372862152E-2</v>
      </c>
      <c r="D102" s="7">
        <f t="shared" si="2"/>
        <v>0.70064067334345725</v>
      </c>
      <c r="E102" s="7">
        <f t="shared" si="3"/>
        <v>0.64323338659773299</v>
      </c>
    </row>
    <row r="103" spans="1:5" x14ac:dyDescent="0.2">
      <c r="A103" s="6">
        <f>Data!A103</f>
        <v>550</v>
      </c>
      <c r="B103" s="6">
        <f>Data!B103</f>
        <v>0.6636325336350879</v>
      </c>
      <c r="C103" s="6">
        <f>Data!C103</f>
        <v>2.8456919389239728E-2</v>
      </c>
      <c r="D103" s="7">
        <f t="shared" si="2"/>
        <v>0.69208945302432767</v>
      </c>
      <c r="E103" s="7">
        <f t="shared" si="3"/>
        <v>0.63517561424584812</v>
      </c>
    </row>
    <row r="104" spans="1:5" x14ac:dyDescent="0.2">
      <c r="A104" s="6">
        <f>Data!A104</f>
        <v>551</v>
      </c>
      <c r="B104" s="6">
        <f>Data!B104</f>
        <v>0.65359545568799227</v>
      </c>
      <c r="C104" s="6">
        <f>Data!C104</f>
        <v>2.8141819182390605E-2</v>
      </c>
      <c r="D104" s="7">
        <f t="shared" si="2"/>
        <v>0.68173727487038283</v>
      </c>
      <c r="E104" s="7">
        <f t="shared" si="3"/>
        <v>0.62545363650560171</v>
      </c>
    </row>
    <row r="105" spans="1:5" x14ac:dyDescent="0.2">
      <c r="A105" s="6">
        <f>Data!A105</f>
        <v>552</v>
      </c>
      <c r="B105" s="6">
        <f>Data!B105</f>
        <v>0.64169891971915627</v>
      </c>
      <c r="C105" s="6">
        <f>Data!C105</f>
        <v>2.7764693896470263E-2</v>
      </c>
      <c r="D105" s="7">
        <f t="shared" si="2"/>
        <v>0.66946361361562656</v>
      </c>
      <c r="E105" s="7">
        <f t="shared" si="3"/>
        <v>0.61393422582268597</v>
      </c>
    </row>
    <row r="106" spans="1:5" x14ac:dyDescent="0.2">
      <c r="A106" s="6">
        <f>Data!A106</f>
        <v>553</v>
      </c>
      <c r="B106" s="6">
        <f>Data!B106</f>
        <v>0.62873046886977491</v>
      </c>
      <c r="C106" s="6">
        <f>Data!C106</f>
        <v>2.7347641431200592E-2</v>
      </c>
      <c r="D106" s="7">
        <f t="shared" si="2"/>
        <v>0.65607811030097551</v>
      </c>
      <c r="E106" s="7">
        <f t="shared" si="3"/>
        <v>0.6013828274385743</v>
      </c>
    </row>
    <row r="107" spans="1:5" x14ac:dyDescent="0.2">
      <c r="A107" s="6">
        <f>Data!A107</f>
        <v>554</v>
      </c>
      <c r="B107" s="6">
        <f>Data!B107</f>
        <v>0.61356414429654127</v>
      </c>
      <c r="C107" s="6">
        <f>Data!C107</f>
        <v>2.68521347355926E-2</v>
      </c>
      <c r="D107" s="7">
        <f t="shared" si="2"/>
        <v>0.64041627903213383</v>
      </c>
      <c r="E107" s="7">
        <f t="shared" si="3"/>
        <v>0.58671200956094871</v>
      </c>
    </row>
    <row r="108" spans="1:5" x14ac:dyDescent="0.2">
      <c r="A108" s="6">
        <f>Data!A108</f>
        <v>555</v>
      </c>
      <c r="B108" s="6">
        <f>Data!B108</f>
        <v>0.59546455255756647</v>
      </c>
      <c r="C108" s="6">
        <f>Data!C108</f>
        <v>2.6249984970464595E-2</v>
      </c>
      <c r="D108" s="7">
        <f t="shared" si="2"/>
        <v>0.62171453752803107</v>
      </c>
      <c r="E108" s="7">
        <f t="shared" si="3"/>
        <v>0.56921456758710187</v>
      </c>
    </row>
    <row r="109" spans="1:5" x14ac:dyDescent="0.2">
      <c r="A109" s="6">
        <f>Data!A109</f>
        <v>556</v>
      </c>
      <c r="B109" s="6">
        <f>Data!B109</f>
        <v>0.57696449737491873</v>
      </c>
      <c r="C109" s="6">
        <f>Data!C109</f>
        <v>2.5628719060760558E-2</v>
      </c>
      <c r="D109" s="7">
        <f t="shared" si="2"/>
        <v>0.60259321643567931</v>
      </c>
      <c r="E109" s="7">
        <f t="shared" si="3"/>
        <v>0.55133577831415814</v>
      </c>
    </row>
    <row r="110" spans="1:5" x14ac:dyDescent="0.2">
      <c r="A110" s="6">
        <f>Data!A110</f>
        <v>557</v>
      </c>
      <c r="B110" s="6">
        <f>Data!B110</f>
        <v>0.55593733173361792</v>
      </c>
      <c r="C110" s="6">
        <f>Data!C110</f>
        <v>2.4922104608698956E-2</v>
      </c>
      <c r="D110" s="7">
        <f t="shared" si="2"/>
        <v>0.58085943634231685</v>
      </c>
      <c r="E110" s="7">
        <f t="shared" si="3"/>
        <v>0.531015227124919</v>
      </c>
    </row>
    <row r="111" spans="1:5" x14ac:dyDescent="0.2">
      <c r="A111" s="6">
        <f>Data!A111</f>
        <v>558</v>
      </c>
      <c r="B111" s="6">
        <f>Data!B111</f>
        <v>0.53447097676094091</v>
      </c>
      <c r="C111" s="6">
        <f>Data!C111</f>
        <v>2.4205250270480084E-2</v>
      </c>
      <c r="D111" s="7">
        <f t="shared" si="2"/>
        <v>0.55867622703142095</v>
      </c>
      <c r="E111" s="7">
        <f t="shared" si="3"/>
        <v>0.51026572649046087</v>
      </c>
    </row>
    <row r="112" spans="1:5" x14ac:dyDescent="0.2">
      <c r="A112" s="6">
        <f>Data!A112</f>
        <v>559</v>
      </c>
      <c r="B112" s="6">
        <f>Data!B112</f>
        <v>0.51382911126133157</v>
      </c>
      <c r="C112" s="6">
        <f>Data!C112</f>
        <v>2.3529569632736502E-2</v>
      </c>
      <c r="D112" s="7">
        <f t="shared" si="2"/>
        <v>0.53735868089406802</v>
      </c>
      <c r="E112" s="7">
        <f t="shared" si="3"/>
        <v>0.49029954162859507</v>
      </c>
    </row>
    <row r="113" spans="1:5" x14ac:dyDescent="0.2">
      <c r="A113" s="6">
        <f>Data!A113</f>
        <v>560</v>
      </c>
      <c r="B113" s="6">
        <f>Data!B113</f>
        <v>0.49432567063093757</v>
      </c>
      <c r="C113" s="6">
        <f>Data!C113</f>
        <v>2.2918212063923891E-2</v>
      </c>
      <c r="D113" s="7">
        <f t="shared" si="2"/>
        <v>0.51724388269486143</v>
      </c>
      <c r="E113" s="7">
        <f t="shared" si="3"/>
        <v>0.47140745856701366</v>
      </c>
    </row>
    <row r="114" spans="1:5" x14ac:dyDescent="0.2">
      <c r="A114" s="6">
        <f>Data!A114</f>
        <v>561</v>
      </c>
      <c r="B114" s="6">
        <f>Data!B114</f>
        <v>0.4734515626496541</v>
      </c>
      <c r="C114" s="6">
        <f>Data!C114</f>
        <v>2.2248932905757524E-2</v>
      </c>
      <c r="D114" s="7">
        <f t="shared" si="2"/>
        <v>0.49570049555541162</v>
      </c>
      <c r="E114" s="7">
        <f t="shared" si="3"/>
        <v>0.45120262974389658</v>
      </c>
    </row>
    <row r="115" spans="1:5" x14ac:dyDescent="0.2">
      <c r="A115" s="6">
        <f>Data!A115</f>
        <v>562</v>
      </c>
      <c r="B115" s="6">
        <f>Data!B115</f>
        <v>0.4535270917777609</v>
      </c>
      <c r="C115" s="6">
        <f>Data!C115</f>
        <v>2.1621719427161415E-2</v>
      </c>
      <c r="D115" s="7">
        <f t="shared" si="2"/>
        <v>0.47514881120492231</v>
      </c>
      <c r="E115" s="7">
        <f t="shared" si="3"/>
        <v>0.4319053723505995</v>
      </c>
    </row>
    <row r="116" spans="1:5" x14ac:dyDescent="0.2">
      <c r="A116" s="6">
        <f>Data!A116</f>
        <v>563</v>
      </c>
      <c r="B116" s="6">
        <f>Data!B116</f>
        <v>0.43451525027895666</v>
      </c>
      <c r="C116" s="6">
        <f>Data!C116</f>
        <v>2.1041569969698495E-2</v>
      </c>
      <c r="D116" s="7">
        <f t="shared" si="2"/>
        <v>0.45555682024865513</v>
      </c>
      <c r="E116" s="7">
        <f t="shared" si="3"/>
        <v>0.41347368030925818</v>
      </c>
    </row>
    <row r="117" spans="1:5" x14ac:dyDescent="0.2">
      <c r="A117" s="6">
        <f>Data!A117</f>
        <v>564</v>
      </c>
      <c r="B117" s="6">
        <f>Data!B117</f>
        <v>0.41622580861577924</v>
      </c>
      <c r="C117" s="6">
        <f>Data!C117</f>
        <v>2.0490771913459011E-2</v>
      </c>
      <c r="D117" s="7">
        <f t="shared" si="2"/>
        <v>0.43671658052923823</v>
      </c>
      <c r="E117" s="7">
        <f t="shared" si="3"/>
        <v>0.39573503670232024</v>
      </c>
    </row>
    <row r="118" spans="1:5" x14ac:dyDescent="0.2">
      <c r="A118" s="6">
        <f>Data!A118</f>
        <v>565</v>
      </c>
      <c r="B118" s="6">
        <f>Data!B118</f>
        <v>0.39854114383327294</v>
      </c>
      <c r="C118" s="6">
        <f>Data!C118</f>
        <v>1.9964176972572814E-2</v>
      </c>
      <c r="D118" s="7">
        <f t="shared" si="2"/>
        <v>0.41850532080584574</v>
      </c>
      <c r="E118" s="7">
        <f t="shared" si="3"/>
        <v>0.37857696686070014</v>
      </c>
    </row>
    <row r="119" spans="1:5" x14ac:dyDescent="0.2">
      <c r="A119" s="6">
        <f>Data!A119</f>
        <v>566</v>
      </c>
      <c r="B119" s="6">
        <f>Data!B119</f>
        <v>0.38390894681401361</v>
      </c>
      <c r="C119" s="6">
        <f>Data!C119</f>
        <v>1.958048001630408E-2</v>
      </c>
      <c r="D119" s="7">
        <f t="shared" si="2"/>
        <v>0.40348942683031769</v>
      </c>
      <c r="E119" s="7">
        <f t="shared" si="3"/>
        <v>0.36432846679770953</v>
      </c>
    </row>
    <row r="120" spans="1:5" x14ac:dyDescent="0.2">
      <c r="A120" s="6">
        <f>Data!A120</f>
        <v>567</v>
      </c>
      <c r="B120" s="6">
        <f>Data!B120</f>
        <v>0.37020712719950333</v>
      </c>
      <c r="C120" s="6">
        <f>Data!C120</f>
        <v>1.9236848124309373E-2</v>
      </c>
      <c r="D120" s="7">
        <f t="shared" si="2"/>
        <v>0.3894439753238127</v>
      </c>
      <c r="E120" s="7">
        <f t="shared" si="3"/>
        <v>0.35097027907519396</v>
      </c>
    </row>
    <row r="121" spans="1:5" x14ac:dyDescent="0.2">
      <c r="A121" s="6">
        <f>Data!A121</f>
        <v>568</v>
      </c>
      <c r="B121" s="6">
        <f>Data!B121</f>
        <v>0.35849504215072275</v>
      </c>
      <c r="C121" s="6">
        <f>Data!C121</f>
        <v>1.8980590756689786E-2</v>
      </c>
      <c r="D121" s="7">
        <f t="shared" si="2"/>
        <v>0.37747563290741254</v>
      </c>
      <c r="E121" s="7">
        <f t="shared" si="3"/>
        <v>0.33951445139403297</v>
      </c>
    </row>
    <row r="122" spans="1:5" x14ac:dyDescent="0.2">
      <c r="A122" s="6">
        <f>Data!A122</f>
        <v>569</v>
      </c>
      <c r="B122" s="6">
        <f>Data!B122</f>
        <v>0.34780203698854917</v>
      </c>
      <c r="C122" s="6">
        <f>Data!C122</f>
        <v>1.8770490714507163E-2</v>
      </c>
      <c r="D122" s="7">
        <f t="shared" si="2"/>
        <v>0.36657252770305632</v>
      </c>
      <c r="E122" s="7">
        <f t="shared" si="3"/>
        <v>0.32903154627404202</v>
      </c>
    </row>
    <row r="123" spans="1:5" x14ac:dyDescent="0.2">
      <c r="A123" s="6">
        <f>Data!A123</f>
        <v>570</v>
      </c>
      <c r="B123" s="6">
        <f>Data!B123</f>
        <v>0.33734680128622624</v>
      </c>
      <c r="C123" s="6">
        <f>Data!C123</f>
        <v>1.8554904264841982E-2</v>
      </c>
      <c r="D123" s="7">
        <f t="shared" si="2"/>
        <v>0.3559017055510682</v>
      </c>
      <c r="E123" s="7">
        <f t="shared" si="3"/>
        <v>0.31879189702138427</v>
      </c>
    </row>
    <row r="124" spans="1:5" x14ac:dyDescent="0.2">
      <c r="A124" s="6">
        <f>Data!A124</f>
        <v>571</v>
      </c>
      <c r="B124" s="6">
        <f>Data!B124</f>
        <v>0.3282387482206226</v>
      </c>
      <c r="C124" s="6">
        <f>Data!C124</f>
        <v>1.8397427670101312E-2</v>
      </c>
      <c r="D124" s="7">
        <f t="shared" si="2"/>
        <v>0.34663617589072393</v>
      </c>
      <c r="E124" s="7">
        <f t="shared" si="3"/>
        <v>0.30984132055052127</v>
      </c>
    </row>
    <row r="125" spans="1:5" x14ac:dyDescent="0.2">
      <c r="A125" s="6">
        <f>Data!A125</f>
        <v>572</v>
      </c>
      <c r="B125" s="6">
        <f>Data!B125</f>
        <v>0.31954183441245548</v>
      </c>
      <c r="C125" s="6">
        <f>Data!C125</f>
        <v>1.8238166935028086E-2</v>
      </c>
      <c r="D125" s="7">
        <f t="shared" si="2"/>
        <v>0.33778000134748359</v>
      </c>
      <c r="E125" s="7">
        <f t="shared" si="3"/>
        <v>0.30130366747742737</v>
      </c>
    </row>
    <row r="126" spans="1:5" x14ac:dyDescent="0.2">
      <c r="A126" s="6">
        <f>Data!A126</f>
        <v>573</v>
      </c>
      <c r="B126" s="6">
        <f>Data!B126</f>
        <v>0.31147270239715452</v>
      </c>
      <c r="C126" s="6">
        <f>Data!C126</f>
        <v>1.8091179104435237E-2</v>
      </c>
      <c r="D126" s="7">
        <f t="shared" si="2"/>
        <v>0.32956388150158977</v>
      </c>
      <c r="E126" s="7">
        <f t="shared" si="3"/>
        <v>0.29338152329271927</v>
      </c>
    </row>
    <row r="127" spans="1:5" x14ac:dyDescent="0.2">
      <c r="A127" s="6">
        <f>Data!A127</f>
        <v>574</v>
      </c>
      <c r="B127" s="6">
        <f>Data!B127</f>
        <v>0.30347519300824921</v>
      </c>
      <c r="C127" s="6">
        <f>Data!C127</f>
        <v>1.7925546058601669E-2</v>
      </c>
      <c r="D127" s="7">
        <f t="shared" si="2"/>
        <v>0.3214007390668509</v>
      </c>
      <c r="E127" s="7">
        <f t="shared" si="3"/>
        <v>0.28554964694964752</v>
      </c>
    </row>
    <row r="128" spans="1:5" x14ac:dyDescent="0.2">
      <c r="A128" s="6">
        <f>Data!A128</f>
        <v>575</v>
      </c>
      <c r="B128" s="6">
        <f>Data!B128</f>
        <v>0.29604233670152491</v>
      </c>
      <c r="C128" s="6">
        <f>Data!C128</f>
        <v>1.7759024555898575E-2</v>
      </c>
      <c r="D128" s="7">
        <f t="shared" si="2"/>
        <v>0.31380136125742347</v>
      </c>
      <c r="E128" s="7">
        <f t="shared" si="3"/>
        <v>0.27828331214562635</v>
      </c>
    </row>
    <row r="129" spans="1:5" x14ac:dyDescent="0.2">
      <c r="A129" s="6">
        <f>Data!A129</f>
        <v>576</v>
      </c>
      <c r="B129" s="6">
        <f>Data!B129</f>
        <v>0.28815101024218043</v>
      </c>
      <c r="C129" s="6">
        <f>Data!C129</f>
        <v>1.7538969880681175E-2</v>
      </c>
      <c r="D129" s="7">
        <f t="shared" si="2"/>
        <v>0.30568998012286158</v>
      </c>
      <c r="E129" s="7">
        <f t="shared" si="3"/>
        <v>0.27061204036149927</v>
      </c>
    </row>
    <row r="130" spans="1:5" x14ac:dyDescent="0.2">
      <c r="A130" s="6">
        <f>Data!A130</f>
        <v>577</v>
      </c>
      <c r="B130" s="6">
        <f>Data!B130</f>
        <v>0.27977638796088533</v>
      </c>
      <c r="C130" s="6">
        <f>Data!C130</f>
        <v>1.7253963095758516E-2</v>
      </c>
      <c r="D130" s="7">
        <f t="shared" si="2"/>
        <v>0.29703035105664383</v>
      </c>
      <c r="E130" s="7">
        <f t="shared" si="3"/>
        <v>0.26252242486512684</v>
      </c>
    </row>
    <row r="131" spans="1:5" x14ac:dyDescent="0.2">
      <c r="A131" s="6">
        <f>Data!A131</f>
        <v>578</v>
      </c>
      <c r="B131" s="6">
        <f>Data!B131</f>
        <v>0.2712356255444846</v>
      </c>
      <c r="C131" s="6">
        <f>Data!C131</f>
        <v>1.6923669992954669E-2</v>
      </c>
      <c r="D131" s="7">
        <f t="shared" si="2"/>
        <v>0.2881592955374393</v>
      </c>
      <c r="E131" s="7">
        <f t="shared" si="3"/>
        <v>0.25431195555152991</v>
      </c>
    </row>
    <row r="132" spans="1:5" x14ac:dyDescent="0.2">
      <c r="A132" s="6">
        <f>Data!A132</f>
        <v>579</v>
      </c>
      <c r="B132" s="6">
        <f>Data!B132</f>
        <v>0.26249658067607889</v>
      </c>
      <c r="C132" s="6">
        <f>Data!C132</f>
        <v>1.654938493972714E-2</v>
      </c>
      <c r="D132" s="7">
        <f t="shared" ref="D132:D195" si="4">B132+C132</f>
        <v>0.27904596561580602</v>
      </c>
      <c r="E132" s="7">
        <f t="shared" ref="E132:E195" si="5">B132-C132</f>
        <v>0.24594719573635176</v>
      </c>
    </row>
    <row r="133" spans="1:5" x14ac:dyDescent="0.2">
      <c r="A133" s="6">
        <f>Data!A133</f>
        <v>580</v>
      </c>
      <c r="B133" s="6">
        <f>Data!B133</f>
        <v>0.25360340426222677</v>
      </c>
      <c r="C133" s="6">
        <f>Data!C133</f>
        <v>1.6127734091452326E-2</v>
      </c>
      <c r="D133" s="7">
        <f t="shared" si="4"/>
        <v>0.26973113835367912</v>
      </c>
      <c r="E133" s="7">
        <f t="shared" si="5"/>
        <v>0.23747567017077445</v>
      </c>
    </row>
    <row r="134" spans="1:5" x14ac:dyDescent="0.2">
      <c r="A134" s="6">
        <f>Data!A134</f>
        <v>581</v>
      </c>
      <c r="B134" s="6">
        <f>Data!B134</f>
        <v>0.24375059585864323</v>
      </c>
      <c r="C134" s="6">
        <f>Data!C134</f>
        <v>1.5611693988898662E-2</v>
      </c>
      <c r="D134" s="7">
        <f t="shared" si="4"/>
        <v>0.25936228984754189</v>
      </c>
      <c r="E134" s="7">
        <f t="shared" si="5"/>
        <v>0.22813890186974456</v>
      </c>
    </row>
    <row r="135" spans="1:5" x14ac:dyDescent="0.2">
      <c r="A135" s="6">
        <f>Data!A135</f>
        <v>582</v>
      </c>
      <c r="B135" s="6">
        <f>Data!B135</f>
        <v>0.23483971428709477</v>
      </c>
      <c r="C135" s="6">
        <f>Data!C135</f>
        <v>1.5123725484354169E-2</v>
      </c>
      <c r="D135" s="7">
        <f t="shared" si="4"/>
        <v>0.24996343977144894</v>
      </c>
      <c r="E135" s="7">
        <f t="shared" si="5"/>
        <v>0.2197159888027406</v>
      </c>
    </row>
    <row r="136" spans="1:5" x14ac:dyDescent="0.2">
      <c r="A136" s="6">
        <f>Data!A136</f>
        <v>583</v>
      </c>
      <c r="B136" s="6">
        <f>Data!B136</f>
        <v>0.2256642905582058</v>
      </c>
      <c r="C136" s="6">
        <f>Data!C136</f>
        <v>1.4591256842990986E-2</v>
      </c>
      <c r="D136" s="7">
        <f t="shared" si="4"/>
        <v>0.24025554740119678</v>
      </c>
      <c r="E136" s="7">
        <f t="shared" si="5"/>
        <v>0.21107303371521483</v>
      </c>
    </row>
    <row r="137" spans="1:5" x14ac:dyDescent="0.2">
      <c r="A137" s="6">
        <f>Data!A137</f>
        <v>584</v>
      </c>
      <c r="B137" s="6">
        <f>Data!B137</f>
        <v>0.21681834716105078</v>
      </c>
      <c r="C137" s="6">
        <f>Data!C137</f>
        <v>1.4048056079013774E-2</v>
      </c>
      <c r="D137" s="7">
        <f t="shared" si="4"/>
        <v>0.23086640324006455</v>
      </c>
      <c r="E137" s="7">
        <f t="shared" si="5"/>
        <v>0.20277029108203701</v>
      </c>
    </row>
    <row r="138" spans="1:5" x14ac:dyDescent="0.2">
      <c r="A138" s="6">
        <f>Data!A138</f>
        <v>585</v>
      </c>
      <c r="B138" s="6">
        <f>Data!B138</f>
        <v>0.20784933108750578</v>
      </c>
      <c r="C138" s="6">
        <f>Data!C138</f>
        <v>1.3480064177729284E-2</v>
      </c>
      <c r="D138" s="7">
        <f t="shared" si="4"/>
        <v>0.22132939526523507</v>
      </c>
      <c r="E138" s="7">
        <f t="shared" si="5"/>
        <v>0.19436926690977649</v>
      </c>
    </row>
    <row r="139" spans="1:5" x14ac:dyDescent="0.2">
      <c r="A139" s="6">
        <f>Data!A139</f>
        <v>586</v>
      </c>
      <c r="B139" s="6">
        <f>Data!B139</f>
        <v>0.19892391675871812</v>
      </c>
      <c r="C139" s="6">
        <f>Data!C139</f>
        <v>1.2889496320626928E-2</v>
      </c>
      <c r="D139" s="7">
        <f t="shared" si="4"/>
        <v>0.21181341307934504</v>
      </c>
      <c r="E139" s="7">
        <f t="shared" si="5"/>
        <v>0.18603442043809121</v>
      </c>
    </row>
    <row r="140" spans="1:5" x14ac:dyDescent="0.2">
      <c r="A140" s="6">
        <f>Data!A140</f>
        <v>587</v>
      </c>
      <c r="B140" s="6">
        <f>Data!B140</f>
        <v>0.19054711475400851</v>
      </c>
      <c r="C140" s="6">
        <f>Data!C140</f>
        <v>1.2320237430377216E-2</v>
      </c>
      <c r="D140" s="7">
        <f t="shared" si="4"/>
        <v>0.20286735218438573</v>
      </c>
      <c r="E140" s="7">
        <f t="shared" si="5"/>
        <v>0.17822687732363129</v>
      </c>
    </row>
    <row r="141" spans="1:5" x14ac:dyDescent="0.2">
      <c r="A141" s="6">
        <f>Data!A141</f>
        <v>588</v>
      </c>
      <c r="B141" s="6">
        <f>Data!B141</f>
        <v>0.18229706542919577</v>
      </c>
      <c r="C141" s="6">
        <f>Data!C141</f>
        <v>1.1744942396327463E-2</v>
      </c>
      <c r="D141" s="7">
        <f t="shared" si="4"/>
        <v>0.19404200782552322</v>
      </c>
      <c r="E141" s="7">
        <f t="shared" si="5"/>
        <v>0.17055212303286832</v>
      </c>
    </row>
    <row r="142" spans="1:5" x14ac:dyDescent="0.2">
      <c r="A142" s="6">
        <f>Data!A142</f>
        <v>589</v>
      </c>
      <c r="B142" s="6">
        <f>Data!B142</f>
        <v>0.17461144369131629</v>
      </c>
      <c r="C142" s="6">
        <f>Data!C142</f>
        <v>1.1196821824887812E-2</v>
      </c>
      <c r="D142" s="7">
        <f t="shared" si="4"/>
        <v>0.18580826551620411</v>
      </c>
      <c r="E142" s="7">
        <f t="shared" si="5"/>
        <v>0.16341462186642847</v>
      </c>
    </row>
    <row r="143" spans="1:5" x14ac:dyDescent="0.2">
      <c r="A143" s="6">
        <f>Data!A143</f>
        <v>590</v>
      </c>
      <c r="B143" s="6">
        <f>Data!B143</f>
        <v>0.1672737284100787</v>
      </c>
      <c r="C143" s="6">
        <f>Data!C143</f>
        <v>1.0664563382889253E-2</v>
      </c>
      <c r="D143" s="7">
        <f t="shared" si="4"/>
        <v>0.17793829179296797</v>
      </c>
      <c r="E143" s="7">
        <f t="shared" si="5"/>
        <v>0.15660916502718944</v>
      </c>
    </row>
    <row r="144" spans="1:5" x14ac:dyDescent="0.2">
      <c r="A144" s="6">
        <f>Data!A144</f>
        <v>591</v>
      </c>
      <c r="B144" s="6">
        <f>Data!B144</f>
        <v>0.1598686460097957</v>
      </c>
      <c r="C144" s="6">
        <f>Data!C144</f>
        <v>1.0127194409858209E-2</v>
      </c>
      <c r="D144" s="7">
        <f t="shared" si="4"/>
        <v>0.1699958404196539</v>
      </c>
      <c r="E144" s="7">
        <f t="shared" si="5"/>
        <v>0.14974145159993749</v>
      </c>
    </row>
    <row r="145" spans="1:5" x14ac:dyDescent="0.2">
      <c r="A145" s="6">
        <f>Data!A145</f>
        <v>592</v>
      </c>
      <c r="B145" s="6">
        <f>Data!B145</f>
        <v>0.15321022949164456</v>
      </c>
      <c r="C145" s="6">
        <f>Data!C145</f>
        <v>9.6343491023198856E-3</v>
      </c>
      <c r="D145" s="7">
        <f t="shared" si="4"/>
        <v>0.16284457859396445</v>
      </c>
      <c r="E145" s="7">
        <f t="shared" si="5"/>
        <v>0.14357588038932467</v>
      </c>
    </row>
    <row r="146" spans="1:5" x14ac:dyDescent="0.2">
      <c r="A146" s="6">
        <f>Data!A146</f>
        <v>593</v>
      </c>
      <c r="B146" s="6">
        <f>Data!B146</f>
        <v>0.14725936616902394</v>
      </c>
      <c r="C146" s="6">
        <f>Data!C146</f>
        <v>9.1876429660715051E-3</v>
      </c>
      <c r="D146" s="7">
        <f t="shared" si="4"/>
        <v>0.15644700913509543</v>
      </c>
      <c r="E146" s="7">
        <f t="shared" si="5"/>
        <v>0.13807172320295244</v>
      </c>
    </row>
    <row r="147" spans="1:5" x14ac:dyDescent="0.2">
      <c r="A147" s="6">
        <f>Data!A147</f>
        <v>594</v>
      </c>
      <c r="B147" s="6">
        <f>Data!B147</f>
        <v>0.14129865198343508</v>
      </c>
      <c r="C147" s="6">
        <f>Data!C147</f>
        <v>8.7454105722149095E-3</v>
      </c>
      <c r="D147" s="7">
        <f t="shared" si="4"/>
        <v>0.15004406255565</v>
      </c>
      <c r="E147" s="7">
        <f t="shared" si="5"/>
        <v>0.13255324141122016</v>
      </c>
    </row>
    <row r="148" spans="1:5" x14ac:dyDescent="0.2">
      <c r="A148" s="6">
        <f>Data!A148</f>
        <v>595</v>
      </c>
      <c r="B148" s="6">
        <f>Data!B148</f>
        <v>0.13569157841896043</v>
      </c>
      <c r="C148" s="6">
        <f>Data!C148</f>
        <v>8.3300394593326874E-3</v>
      </c>
      <c r="D148" s="7">
        <f t="shared" si="4"/>
        <v>0.14402161787829312</v>
      </c>
      <c r="E148" s="7">
        <f t="shared" si="5"/>
        <v>0.12736153895962773</v>
      </c>
    </row>
    <row r="149" spans="1:5" x14ac:dyDescent="0.2">
      <c r="A149" s="6">
        <f>Data!A149</f>
        <v>596</v>
      </c>
      <c r="B149" s="6">
        <f>Data!B149</f>
        <v>0.13052965273188641</v>
      </c>
      <c r="C149" s="6">
        <f>Data!C149</f>
        <v>7.9499894384273476E-3</v>
      </c>
      <c r="D149" s="7">
        <f t="shared" si="4"/>
        <v>0.13847964217031375</v>
      </c>
      <c r="E149" s="7">
        <f t="shared" si="5"/>
        <v>0.12257966329345907</v>
      </c>
    </row>
    <row r="150" spans="1:5" x14ac:dyDescent="0.2">
      <c r="A150" s="6">
        <f>Data!A150</f>
        <v>597</v>
      </c>
      <c r="B150" s="6">
        <f>Data!B150</f>
        <v>0.12589759065573297</v>
      </c>
      <c r="C150" s="6">
        <f>Data!C150</f>
        <v>7.6100949699948166E-3</v>
      </c>
      <c r="D150" s="7">
        <f t="shared" si="4"/>
        <v>0.13350768562572779</v>
      </c>
      <c r="E150" s="7">
        <f t="shared" si="5"/>
        <v>0.11828749568573815</v>
      </c>
    </row>
    <row r="151" spans="1:5" x14ac:dyDescent="0.2">
      <c r="A151" s="6">
        <f>Data!A151</f>
        <v>598</v>
      </c>
      <c r="B151" s="6">
        <f>Data!B151</f>
        <v>0.1217387868827091</v>
      </c>
      <c r="C151" s="6">
        <f>Data!C151</f>
        <v>7.3072648506502004E-3</v>
      </c>
      <c r="D151" s="7">
        <f t="shared" si="4"/>
        <v>0.12904605173335931</v>
      </c>
      <c r="E151" s="7">
        <f t="shared" si="5"/>
        <v>0.1144315220320589</v>
      </c>
    </row>
    <row r="152" spans="1:5" x14ac:dyDescent="0.2">
      <c r="A152" s="6">
        <f>Data!A152</f>
        <v>599</v>
      </c>
      <c r="B152" s="6">
        <f>Data!B152</f>
        <v>0.11754995196885393</v>
      </c>
      <c r="C152" s="6">
        <f>Data!C152</f>
        <v>7.0129875661361996E-3</v>
      </c>
      <c r="D152" s="7">
        <f t="shared" si="4"/>
        <v>0.12456293953499013</v>
      </c>
      <c r="E152" s="7">
        <f t="shared" si="5"/>
        <v>0.11053696440271772</v>
      </c>
    </row>
    <row r="153" spans="1:5" x14ac:dyDescent="0.2">
      <c r="A153" s="6">
        <f>Data!A153</f>
        <v>600</v>
      </c>
      <c r="B153" s="6">
        <f>Data!B153</f>
        <v>0.11371862762895166</v>
      </c>
      <c r="C153" s="6">
        <f>Data!C153</f>
        <v>6.7497946086392769E-3</v>
      </c>
      <c r="D153" s="7">
        <f t="shared" si="4"/>
        <v>0.12046842223759094</v>
      </c>
      <c r="E153" s="7">
        <f t="shared" si="5"/>
        <v>0.10696883302031238</v>
      </c>
    </row>
    <row r="154" spans="1:5" x14ac:dyDescent="0.2">
      <c r="A154" s="6">
        <f>Data!A154</f>
        <v>601</v>
      </c>
      <c r="B154" s="6">
        <f>Data!B154</f>
        <v>0.11000215717657781</v>
      </c>
      <c r="C154" s="6">
        <f>Data!C154</f>
        <v>6.5032572508119451E-3</v>
      </c>
      <c r="D154" s="7">
        <f t="shared" si="4"/>
        <v>0.11650541442738975</v>
      </c>
      <c r="E154" s="7">
        <f t="shared" si="5"/>
        <v>0.10349889992576587</v>
      </c>
    </row>
    <row r="155" spans="1:5" x14ac:dyDescent="0.2">
      <c r="A155" s="6">
        <f>Data!A155</f>
        <v>602</v>
      </c>
      <c r="B155" s="6">
        <f>Data!B155</f>
        <v>0.10629685926534635</v>
      </c>
      <c r="C155" s="6">
        <f>Data!C155</f>
        <v>6.2680932721831005E-3</v>
      </c>
      <c r="D155" s="7">
        <f t="shared" si="4"/>
        <v>0.11256495253752945</v>
      </c>
      <c r="E155" s="7">
        <f t="shared" si="5"/>
        <v>0.10002876599316325</v>
      </c>
    </row>
    <row r="156" spans="1:5" x14ac:dyDescent="0.2">
      <c r="A156" s="6">
        <f>Data!A156</f>
        <v>603</v>
      </c>
      <c r="B156" s="6">
        <f>Data!B156</f>
        <v>0.10295761726738581</v>
      </c>
      <c r="C156" s="6">
        <f>Data!C156</f>
        <v>6.0641110256357787E-3</v>
      </c>
      <c r="D156" s="7">
        <f t="shared" si="4"/>
        <v>0.10902172829302159</v>
      </c>
      <c r="E156" s="7">
        <f t="shared" si="5"/>
        <v>9.6893506241750027E-2</v>
      </c>
    </row>
    <row r="157" spans="1:5" x14ac:dyDescent="0.2">
      <c r="A157" s="6">
        <f>Data!A157</f>
        <v>604</v>
      </c>
      <c r="B157" s="6">
        <f>Data!B157</f>
        <v>9.9780875491576201E-2</v>
      </c>
      <c r="C157" s="6">
        <f>Data!C157</f>
        <v>5.8785891327031237E-3</v>
      </c>
      <c r="D157" s="7">
        <f t="shared" si="4"/>
        <v>0.10565946462427933</v>
      </c>
      <c r="E157" s="7">
        <f t="shared" si="5"/>
        <v>9.3902286358873072E-2</v>
      </c>
    </row>
    <row r="158" spans="1:5" x14ac:dyDescent="0.2">
      <c r="A158" s="6">
        <f>Data!A158</f>
        <v>605</v>
      </c>
      <c r="B158" s="6">
        <f>Data!B158</f>
        <v>9.6323689088427977E-2</v>
      </c>
      <c r="C158" s="6">
        <f>Data!C158</f>
        <v>5.6865721414828532E-3</v>
      </c>
      <c r="D158" s="7">
        <f t="shared" si="4"/>
        <v>0.10201026122991083</v>
      </c>
      <c r="E158" s="7">
        <f t="shared" si="5"/>
        <v>9.0637116946945123E-2</v>
      </c>
    </row>
    <row r="159" spans="1:5" x14ac:dyDescent="0.2">
      <c r="A159" s="6">
        <f>Data!A159</f>
        <v>606</v>
      </c>
      <c r="B159" s="6">
        <f>Data!B159</f>
        <v>9.3396939539941853E-2</v>
      </c>
      <c r="C159" s="6">
        <f>Data!C159</f>
        <v>5.5349637034359982E-3</v>
      </c>
      <c r="D159" s="7">
        <f t="shared" si="4"/>
        <v>9.8931903243377847E-2</v>
      </c>
      <c r="E159" s="7">
        <f t="shared" si="5"/>
        <v>8.786197583650586E-2</v>
      </c>
    </row>
    <row r="160" spans="1:5" x14ac:dyDescent="0.2">
      <c r="A160" s="6">
        <f>Data!A160</f>
        <v>607</v>
      </c>
      <c r="B160" s="6">
        <f>Data!B160</f>
        <v>9.0409351346753764E-2</v>
      </c>
      <c r="C160" s="6">
        <f>Data!C160</f>
        <v>5.3861969142178692E-3</v>
      </c>
      <c r="D160" s="7">
        <f t="shared" si="4"/>
        <v>9.5795548260971627E-2</v>
      </c>
      <c r="E160" s="7">
        <f t="shared" si="5"/>
        <v>8.50231544325359E-2</v>
      </c>
    </row>
    <row r="161" spans="1:5" x14ac:dyDescent="0.2">
      <c r="A161" s="6">
        <f>Data!A161</f>
        <v>608</v>
      </c>
      <c r="B161" s="6">
        <f>Data!B161</f>
        <v>8.7213888189558456E-2</v>
      </c>
      <c r="C161" s="6">
        <f>Data!C161</f>
        <v>5.2324612211096157E-3</v>
      </c>
      <c r="D161" s="7">
        <f t="shared" si="4"/>
        <v>9.2446349410668066E-2</v>
      </c>
      <c r="E161" s="7">
        <f t="shared" si="5"/>
        <v>8.1981426968448845E-2</v>
      </c>
    </row>
    <row r="162" spans="1:5" x14ac:dyDescent="0.2">
      <c r="A162" s="6">
        <f>Data!A162</f>
        <v>609</v>
      </c>
      <c r="B162" s="6">
        <f>Data!B162</f>
        <v>8.4098990588808722E-2</v>
      </c>
      <c r="C162" s="6">
        <f>Data!C162</f>
        <v>5.0889011549165751E-3</v>
      </c>
      <c r="D162" s="7">
        <f t="shared" si="4"/>
        <v>8.9187891743725295E-2</v>
      </c>
      <c r="E162" s="7">
        <f t="shared" si="5"/>
        <v>7.901008943389215E-2</v>
      </c>
    </row>
    <row r="163" spans="1:5" x14ac:dyDescent="0.2">
      <c r="A163" s="6">
        <f>Data!A163</f>
        <v>610</v>
      </c>
      <c r="B163" s="6">
        <f>Data!B163</f>
        <v>8.0787849700314301E-2</v>
      </c>
      <c r="C163" s="6">
        <f>Data!C163</f>
        <v>4.939341170132578E-3</v>
      </c>
      <c r="D163" s="7">
        <f t="shared" si="4"/>
        <v>8.5727190870446876E-2</v>
      </c>
      <c r="E163" s="7">
        <f t="shared" si="5"/>
        <v>7.5848508530181727E-2</v>
      </c>
    </row>
    <row r="164" spans="1:5" x14ac:dyDescent="0.2">
      <c r="A164" s="6">
        <f>Data!A164</f>
        <v>611</v>
      </c>
      <c r="B164" s="6">
        <f>Data!B164</f>
        <v>7.7850704183253738E-2</v>
      </c>
      <c r="C164" s="6">
        <f>Data!C164</f>
        <v>4.8142232443251238E-3</v>
      </c>
      <c r="D164" s="7">
        <f t="shared" si="4"/>
        <v>8.266492742757886E-2</v>
      </c>
      <c r="E164" s="7">
        <f t="shared" si="5"/>
        <v>7.3036480938928616E-2</v>
      </c>
    </row>
    <row r="165" spans="1:5" x14ac:dyDescent="0.2">
      <c r="A165" s="6">
        <f>Data!A165</f>
        <v>612</v>
      </c>
      <c r="B165" s="6">
        <f>Data!B165</f>
        <v>7.4562036404187598E-2</v>
      </c>
      <c r="C165" s="6">
        <f>Data!C165</f>
        <v>4.6709523704212726E-3</v>
      </c>
      <c r="D165" s="7">
        <f t="shared" si="4"/>
        <v>7.9232988774608867E-2</v>
      </c>
      <c r="E165" s="7">
        <f t="shared" si="5"/>
        <v>6.9891084033766329E-2</v>
      </c>
    </row>
    <row r="166" spans="1:5" x14ac:dyDescent="0.2">
      <c r="A166" s="6">
        <f>Data!A166</f>
        <v>613</v>
      </c>
      <c r="B166" s="6">
        <f>Data!B166</f>
        <v>7.1732514311879547E-2</v>
      </c>
      <c r="C166" s="6">
        <f>Data!C166</f>
        <v>4.5563739472226144E-3</v>
      </c>
      <c r="D166" s="7">
        <f t="shared" si="4"/>
        <v>7.6288888259102156E-2</v>
      </c>
      <c r="E166" s="7">
        <f t="shared" si="5"/>
        <v>6.7176140364656939E-2</v>
      </c>
    </row>
    <row r="167" spans="1:5" x14ac:dyDescent="0.2">
      <c r="A167" s="6">
        <f>Data!A167</f>
        <v>614</v>
      </c>
      <c r="B167" s="6">
        <f>Data!B167</f>
        <v>6.8568591441753757E-2</v>
      </c>
      <c r="C167" s="6">
        <f>Data!C167</f>
        <v>4.4187324148504733E-3</v>
      </c>
      <c r="D167" s="7">
        <f t="shared" si="4"/>
        <v>7.2987323856604225E-2</v>
      </c>
      <c r="E167" s="7">
        <f t="shared" si="5"/>
        <v>6.4149859026903289E-2</v>
      </c>
    </row>
    <row r="168" spans="1:5" x14ac:dyDescent="0.2">
      <c r="A168" s="6">
        <f>Data!A168</f>
        <v>615</v>
      </c>
      <c r="B168" s="6">
        <f>Data!B168</f>
        <v>6.5616823253640183E-2</v>
      </c>
      <c r="C168" s="6">
        <f>Data!C168</f>
        <v>4.2934686917024123E-3</v>
      </c>
      <c r="D168" s="7">
        <f t="shared" si="4"/>
        <v>6.9910291945342595E-2</v>
      </c>
      <c r="E168" s="7">
        <f t="shared" si="5"/>
        <v>6.1323354561937771E-2</v>
      </c>
    </row>
    <row r="169" spans="1:5" x14ac:dyDescent="0.2">
      <c r="A169" s="6">
        <f>Data!A169</f>
        <v>616</v>
      </c>
      <c r="B169" s="6">
        <f>Data!B169</f>
        <v>6.2458445281891498E-2</v>
      </c>
      <c r="C169" s="6">
        <f>Data!C169</f>
        <v>4.1510521060946519E-3</v>
      </c>
      <c r="D169" s="7">
        <f t="shared" si="4"/>
        <v>6.6609497387986147E-2</v>
      </c>
      <c r="E169" s="7">
        <f t="shared" si="5"/>
        <v>5.8307393175796848E-2</v>
      </c>
    </row>
    <row r="170" spans="1:5" x14ac:dyDescent="0.2">
      <c r="A170" s="6">
        <f>Data!A170</f>
        <v>617</v>
      </c>
      <c r="B170" s="6">
        <f>Data!B170</f>
        <v>5.9843243253248496E-2</v>
      </c>
      <c r="C170" s="6">
        <f>Data!C170</f>
        <v>4.0410780061409029E-3</v>
      </c>
      <c r="D170" s="7">
        <f t="shared" si="4"/>
        <v>6.3884321259389393E-2</v>
      </c>
      <c r="E170" s="7">
        <f t="shared" si="5"/>
        <v>5.5802165247107592E-2</v>
      </c>
    </row>
    <row r="171" spans="1:5" x14ac:dyDescent="0.2">
      <c r="A171" s="6">
        <f>Data!A171</f>
        <v>618</v>
      </c>
      <c r="B171" s="6">
        <f>Data!B171</f>
        <v>5.68587555295915E-2</v>
      </c>
      <c r="C171" s="6">
        <f>Data!C171</f>
        <v>3.9010341891795681E-3</v>
      </c>
      <c r="D171" s="7">
        <f t="shared" si="4"/>
        <v>6.0759789718771065E-2</v>
      </c>
      <c r="E171" s="7">
        <f t="shared" si="5"/>
        <v>5.2957721340411934E-2</v>
      </c>
    </row>
    <row r="172" spans="1:5" x14ac:dyDescent="0.2">
      <c r="A172" s="6">
        <f>Data!A172</f>
        <v>619</v>
      </c>
      <c r="B172" s="6">
        <f>Data!B172</f>
        <v>5.4018035683890887E-2</v>
      </c>
      <c r="C172" s="6">
        <f>Data!C172</f>
        <v>3.7651751894381114E-3</v>
      </c>
      <c r="D172" s="7">
        <f t="shared" si="4"/>
        <v>5.7783210873329001E-2</v>
      </c>
      <c r="E172" s="7">
        <f t="shared" si="5"/>
        <v>5.0252860494452774E-2</v>
      </c>
    </row>
    <row r="173" spans="1:5" x14ac:dyDescent="0.2">
      <c r="A173" s="6">
        <f>Data!A173</f>
        <v>620</v>
      </c>
      <c r="B173" s="6">
        <f>Data!B173</f>
        <v>5.1644798573459834E-2</v>
      </c>
      <c r="C173" s="6">
        <f>Data!C173</f>
        <v>3.6545376477578515E-3</v>
      </c>
      <c r="D173" s="7">
        <f t="shared" si="4"/>
        <v>5.5299336221217688E-2</v>
      </c>
      <c r="E173" s="7">
        <f t="shared" si="5"/>
        <v>4.799026092570198E-2</v>
      </c>
    </row>
    <row r="174" spans="1:5" x14ac:dyDescent="0.2">
      <c r="A174" s="6">
        <f>Data!A174</f>
        <v>621</v>
      </c>
      <c r="B174" s="6">
        <f>Data!B174</f>
        <v>4.9289236903228534E-2</v>
      </c>
      <c r="C174" s="6">
        <f>Data!C174</f>
        <v>3.5392688795711502E-3</v>
      </c>
      <c r="D174" s="7">
        <f t="shared" si="4"/>
        <v>5.2828505782799684E-2</v>
      </c>
      <c r="E174" s="7">
        <f t="shared" si="5"/>
        <v>4.5749968023657384E-2</v>
      </c>
    </row>
    <row r="175" spans="1:5" x14ac:dyDescent="0.2">
      <c r="A175" s="6">
        <f>Data!A175</f>
        <v>622</v>
      </c>
      <c r="B175" s="6">
        <f>Data!B175</f>
        <v>4.6708582926702352E-2</v>
      </c>
      <c r="C175" s="6">
        <f>Data!C175</f>
        <v>3.400319079850703E-3</v>
      </c>
      <c r="D175" s="7">
        <f t="shared" si="4"/>
        <v>5.0108902006553054E-2</v>
      </c>
      <c r="E175" s="7">
        <f t="shared" si="5"/>
        <v>4.3308263846851651E-2</v>
      </c>
    </row>
    <row r="176" spans="1:5" x14ac:dyDescent="0.2">
      <c r="A176" s="6">
        <f>Data!A176</f>
        <v>623</v>
      </c>
      <c r="B176" s="6">
        <f>Data!B176</f>
        <v>4.4518511622236662E-2</v>
      </c>
      <c r="C176" s="6">
        <f>Data!C176</f>
        <v>3.2816347501519764E-3</v>
      </c>
      <c r="D176" s="7">
        <f t="shared" si="4"/>
        <v>4.7800146372388636E-2</v>
      </c>
      <c r="E176" s="7">
        <f t="shared" si="5"/>
        <v>4.1236876872084688E-2</v>
      </c>
    </row>
    <row r="177" spans="1:5" x14ac:dyDescent="0.2">
      <c r="A177" s="6">
        <f>Data!A177</f>
        <v>624</v>
      </c>
      <c r="B177" s="6">
        <f>Data!B177</f>
        <v>4.2595449071273453E-2</v>
      </c>
      <c r="C177" s="6">
        <f>Data!C177</f>
        <v>3.1759538344732939E-3</v>
      </c>
      <c r="D177" s="7">
        <f t="shared" si="4"/>
        <v>4.5771402905746744E-2</v>
      </c>
      <c r="E177" s="7">
        <f t="shared" si="5"/>
        <v>3.9419495236800162E-2</v>
      </c>
    </row>
    <row r="178" spans="1:5" x14ac:dyDescent="0.2">
      <c r="A178" s="6">
        <f>Data!A178</f>
        <v>625</v>
      </c>
      <c r="B178" s="6">
        <f>Data!B178</f>
        <v>4.060664685961788E-2</v>
      </c>
      <c r="C178" s="6">
        <f>Data!C178</f>
        <v>3.0581198163946192E-3</v>
      </c>
      <c r="D178" s="7">
        <f t="shared" si="4"/>
        <v>4.3664766676012497E-2</v>
      </c>
      <c r="E178" s="7">
        <f t="shared" si="5"/>
        <v>3.7548527043223263E-2</v>
      </c>
    </row>
    <row r="179" spans="1:5" x14ac:dyDescent="0.2">
      <c r="A179" s="6">
        <f>Data!A179</f>
        <v>626</v>
      </c>
      <c r="B179" s="6">
        <f>Data!B179</f>
        <v>3.8881992613620943E-2</v>
      </c>
      <c r="C179" s="6">
        <f>Data!C179</f>
        <v>2.953584322570914E-3</v>
      </c>
      <c r="D179" s="7">
        <f t="shared" si="4"/>
        <v>4.1835576936191859E-2</v>
      </c>
      <c r="E179" s="7">
        <f t="shared" si="5"/>
        <v>3.5928408291050026E-2</v>
      </c>
    </row>
    <row r="180" spans="1:5" x14ac:dyDescent="0.2">
      <c r="A180" s="6">
        <f>Data!A180</f>
        <v>627</v>
      </c>
      <c r="B180" s="6">
        <f>Data!B180</f>
        <v>3.7294620365076754E-2</v>
      </c>
      <c r="C180" s="6">
        <f>Data!C180</f>
        <v>2.8541363513108499E-3</v>
      </c>
      <c r="D180" s="7">
        <f t="shared" si="4"/>
        <v>4.0148756716387603E-2</v>
      </c>
      <c r="E180" s="7">
        <f t="shared" si="5"/>
        <v>3.4440484013765905E-2</v>
      </c>
    </row>
    <row r="181" spans="1:5" x14ac:dyDescent="0.2">
      <c r="A181" s="6">
        <f>Data!A181</f>
        <v>628</v>
      </c>
      <c r="B181" s="6">
        <f>Data!B181</f>
        <v>3.5717136750119539E-2</v>
      </c>
      <c r="C181" s="6">
        <f>Data!C181</f>
        <v>2.7497395286114308E-3</v>
      </c>
      <c r="D181" s="7">
        <f t="shared" si="4"/>
        <v>3.8466876278730973E-2</v>
      </c>
      <c r="E181" s="7">
        <f t="shared" si="5"/>
        <v>3.2967397221508106E-2</v>
      </c>
    </row>
    <row r="182" spans="1:5" x14ac:dyDescent="0.2">
      <c r="A182" s="6">
        <f>Data!A182</f>
        <v>629</v>
      </c>
      <c r="B182" s="6">
        <f>Data!B182</f>
        <v>3.4405906856047323E-2</v>
      </c>
      <c r="C182" s="6">
        <f>Data!C182</f>
        <v>2.6617182899212511E-3</v>
      </c>
      <c r="D182" s="7">
        <f t="shared" si="4"/>
        <v>3.7067625145968577E-2</v>
      </c>
      <c r="E182" s="7">
        <f t="shared" si="5"/>
        <v>3.1744188566126069E-2</v>
      </c>
    </row>
    <row r="183" spans="1:5" x14ac:dyDescent="0.2">
      <c r="A183" s="6">
        <f>Data!A183</f>
        <v>630</v>
      </c>
      <c r="B183" s="6">
        <f>Data!B183</f>
        <v>3.2983368704097953E-2</v>
      </c>
      <c r="C183" s="6">
        <f>Data!C183</f>
        <v>2.5604536460946104E-3</v>
      </c>
      <c r="D183" s="7">
        <f t="shared" si="4"/>
        <v>3.5543822350192565E-2</v>
      </c>
      <c r="E183" s="7">
        <f t="shared" si="5"/>
        <v>3.0422915058003343E-2</v>
      </c>
    </row>
    <row r="184" spans="1:5" x14ac:dyDescent="0.2">
      <c r="A184" s="6">
        <f>Data!A184</f>
        <v>631</v>
      </c>
      <c r="B184" s="6">
        <f>Data!B184</f>
        <v>3.1621150488388539E-2</v>
      </c>
      <c r="C184" s="6">
        <f>Data!C184</f>
        <v>2.4608015168506802E-3</v>
      </c>
      <c r="D184" s="7">
        <f t="shared" si="4"/>
        <v>3.4081952005239217E-2</v>
      </c>
      <c r="E184" s="7">
        <f t="shared" si="5"/>
        <v>2.916034897153786E-2</v>
      </c>
    </row>
    <row r="185" spans="1:5" x14ac:dyDescent="0.2">
      <c r="A185" s="6">
        <f>Data!A185</f>
        <v>632</v>
      </c>
      <c r="B185" s="6">
        <f>Data!B185</f>
        <v>3.0542494195478373E-2</v>
      </c>
      <c r="C185" s="6">
        <f>Data!C185</f>
        <v>2.3802086992374895E-3</v>
      </c>
      <c r="D185" s="7">
        <f t="shared" si="4"/>
        <v>3.2922702894715862E-2</v>
      </c>
      <c r="E185" s="7">
        <f t="shared" si="5"/>
        <v>2.8162285496240884E-2</v>
      </c>
    </row>
    <row r="186" spans="1:5" x14ac:dyDescent="0.2">
      <c r="A186" s="6">
        <f>Data!A186</f>
        <v>633</v>
      </c>
      <c r="B186" s="6">
        <f>Data!B186</f>
        <v>2.946376078847757E-2</v>
      </c>
      <c r="C186" s="6">
        <f>Data!C186</f>
        <v>2.2976093247957497E-3</v>
      </c>
      <c r="D186" s="7">
        <f t="shared" si="4"/>
        <v>3.1761370113273318E-2</v>
      </c>
      <c r="E186" s="7">
        <f t="shared" si="5"/>
        <v>2.7166151463681822E-2</v>
      </c>
    </row>
    <row r="187" spans="1:5" x14ac:dyDescent="0.2">
      <c r="A187" s="6">
        <f>Data!A187</f>
        <v>634</v>
      </c>
      <c r="B187" s="6">
        <f>Data!B187</f>
        <v>2.8298395116781901E-2</v>
      </c>
      <c r="C187" s="6">
        <f>Data!C187</f>
        <v>2.2064483775932828E-3</v>
      </c>
      <c r="D187" s="7">
        <f t="shared" si="4"/>
        <v>3.0504843494375183E-2</v>
      </c>
      <c r="E187" s="7">
        <f t="shared" si="5"/>
        <v>2.6091946739188618E-2</v>
      </c>
    </row>
    <row r="188" spans="1:5" x14ac:dyDescent="0.2">
      <c r="A188" s="6">
        <f>Data!A188</f>
        <v>635</v>
      </c>
      <c r="B188" s="6">
        <f>Data!B188</f>
        <v>2.7319009143190215E-2</v>
      </c>
      <c r="C188" s="6">
        <f>Data!C188</f>
        <v>2.1291473505507174E-3</v>
      </c>
      <c r="D188" s="7">
        <f t="shared" si="4"/>
        <v>2.9448156493740933E-2</v>
      </c>
      <c r="E188" s="7">
        <f t="shared" si="5"/>
        <v>2.5189861792639497E-2</v>
      </c>
    </row>
    <row r="189" spans="1:5" x14ac:dyDescent="0.2">
      <c r="A189" s="6">
        <f>Data!A189</f>
        <v>636</v>
      </c>
      <c r="B189" s="6">
        <f>Data!B189</f>
        <v>2.6350984911779993E-2</v>
      </c>
      <c r="C189" s="6">
        <f>Data!C189</f>
        <v>2.0521237437409494E-3</v>
      </c>
      <c r="D189" s="7">
        <f t="shared" si="4"/>
        <v>2.8403108655520943E-2</v>
      </c>
      <c r="E189" s="7">
        <f t="shared" si="5"/>
        <v>2.4298861168039042E-2</v>
      </c>
    </row>
    <row r="190" spans="1:5" x14ac:dyDescent="0.2">
      <c r="A190" s="6">
        <f>Data!A190</f>
        <v>637</v>
      </c>
      <c r="B190" s="6">
        <f>Data!B190</f>
        <v>2.5485967774116432E-2</v>
      </c>
      <c r="C190" s="6">
        <f>Data!C190</f>
        <v>1.9836227117823214E-3</v>
      </c>
      <c r="D190" s="7">
        <f t="shared" si="4"/>
        <v>2.7469590485898754E-2</v>
      </c>
      <c r="E190" s="7">
        <f t="shared" si="5"/>
        <v>2.3502345062334111E-2</v>
      </c>
    </row>
    <row r="191" spans="1:5" x14ac:dyDescent="0.2">
      <c r="A191" s="6">
        <f>Data!A191</f>
        <v>638</v>
      </c>
      <c r="B191" s="6">
        <f>Data!B191</f>
        <v>2.4589979527076981E-2</v>
      </c>
      <c r="C191" s="6">
        <f>Data!C191</f>
        <v>1.9130382520566867E-3</v>
      </c>
      <c r="D191" s="7">
        <f t="shared" si="4"/>
        <v>2.6503017779133668E-2</v>
      </c>
      <c r="E191" s="7">
        <f t="shared" si="5"/>
        <v>2.2676941275020294E-2</v>
      </c>
    </row>
    <row r="192" spans="1:5" x14ac:dyDescent="0.2">
      <c r="A192" s="6">
        <f>Data!A192</f>
        <v>639</v>
      </c>
      <c r="B192" s="6">
        <f>Data!B192</f>
        <v>2.3600018620658945E-2</v>
      </c>
      <c r="C192" s="6">
        <f>Data!C192</f>
        <v>1.835891845550578E-3</v>
      </c>
      <c r="D192" s="7">
        <f t="shared" si="4"/>
        <v>2.5435910466209521E-2</v>
      </c>
      <c r="E192" s="7">
        <f t="shared" si="5"/>
        <v>2.1764126775108368E-2</v>
      </c>
    </row>
    <row r="193" spans="1:5" x14ac:dyDescent="0.2">
      <c r="A193" s="6">
        <f>Data!A193</f>
        <v>640</v>
      </c>
      <c r="B193" s="6">
        <f>Data!B193</f>
        <v>2.2784841946678132E-2</v>
      </c>
      <c r="C193" s="6">
        <f>Data!C193</f>
        <v>1.7732061765620736E-3</v>
      </c>
      <c r="D193" s="7">
        <f t="shared" si="4"/>
        <v>2.4558048123240205E-2</v>
      </c>
      <c r="E193" s="7">
        <f t="shared" si="5"/>
        <v>2.1011635770116058E-2</v>
      </c>
    </row>
    <row r="194" spans="1:5" x14ac:dyDescent="0.2">
      <c r="A194" s="6">
        <f>Data!A194</f>
        <v>641</v>
      </c>
      <c r="B194" s="6">
        <f>Data!B194</f>
        <v>2.1885505734188574E-2</v>
      </c>
      <c r="C194" s="6">
        <f>Data!C194</f>
        <v>1.7048004312685224E-3</v>
      </c>
      <c r="D194" s="7">
        <f t="shared" si="4"/>
        <v>2.3590306165457098E-2</v>
      </c>
      <c r="E194" s="7">
        <f t="shared" si="5"/>
        <v>2.018070530292005E-2</v>
      </c>
    </row>
    <row r="195" spans="1:5" x14ac:dyDescent="0.2">
      <c r="A195" s="6">
        <f>Data!A195</f>
        <v>642</v>
      </c>
      <c r="B195" s="6">
        <f>Data!B195</f>
        <v>2.1112665034309037E-2</v>
      </c>
      <c r="C195" s="6">
        <f>Data!C195</f>
        <v>1.6472847059663123E-3</v>
      </c>
      <c r="D195" s="7">
        <f t="shared" si="4"/>
        <v>2.275994974027535E-2</v>
      </c>
      <c r="E195" s="7">
        <f t="shared" si="5"/>
        <v>1.9465380328342725E-2</v>
      </c>
    </row>
    <row r="196" spans="1:5" x14ac:dyDescent="0.2">
      <c r="A196" s="6">
        <f>Data!A196</f>
        <v>643</v>
      </c>
      <c r="B196" s="6">
        <f>Data!B196</f>
        <v>2.0177045094714512E-2</v>
      </c>
      <c r="C196" s="6">
        <f>Data!C196</f>
        <v>1.5780303599548574E-3</v>
      </c>
      <c r="D196" s="7">
        <f t="shared" ref="D196:D203" si="6">B196+C196</f>
        <v>2.175507545466937E-2</v>
      </c>
      <c r="E196" s="7">
        <f t="shared" ref="E196:E203" si="7">B196-C196</f>
        <v>1.8599014734759653E-2</v>
      </c>
    </row>
    <row r="197" spans="1:5" x14ac:dyDescent="0.2">
      <c r="A197" s="6">
        <f>Data!A197</f>
        <v>644</v>
      </c>
      <c r="B197" s="6">
        <f>Data!B197</f>
        <v>1.9648968686612124E-2</v>
      </c>
      <c r="C197" s="6">
        <f>Data!C197</f>
        <v>1.5418600502391689E-3</v>
      </c>
      <c r="D197" s="7">
        <f t="shared" si="6"/>
        <v>2.1190828736851294E-2</v>
      </c>
      <c r="E197" s="7">
        <f t="shared" si="7"/>
        <v>1.8107108636372955E-2</v>
      </c>
    </row>
    <row r="198" spans="1:5" x14ac:dyDescent="0.2">
      <c r="A198" s="6">
        <f>Data!A198</f>
        <v>645</v>
      </c>
      <c r="B198" s="6">
        <f>Data!B198</f>
        <v>1.8799595343436979E-2</v>
      </c>
      <c r="C198" s="6">
        <f>Data!C198</f>
        <v>1.4820117461164582E-3</v>
      </c>
      <c r="D198" s="7">
        <f t="shared" si="6"/>
        <v>2.0281607089553438E-2</v>
      </c>
      <c r="E198" s="7">
        <f t="shared" si="7"/>
        <v>1.731758359732052E-2</v>
      </c>
    </row>
    <row r="199" spans="1:5" x14ac:dyDescent="0.2">
      <c r="A199" s="6">
        <f>Data!A199</f>
        <v>646</v>
      </c>
      <c r="B199" s="6">
        <f>Data!B199</f>
        <v>1.8176586108958663E-2</v>
      </c>
      <c r="C199" s="6">
        <f>Data!C199</f>
        <v>1.4414056736171855E-3</v>
      </c>
      <c r="D199" s="7">
        <f t="shared" si="6"/>
        <v>1.9617991782575849E-2</v>
      </c>
      <c r="E199" s="7">
        <f t="shared" si="7"/>
        <v>1.6735180435341477E-2</v>
      </c>
    </row>
    <row r="200" spans="1:5" x14ac:dyDescent="0.2">
      <c r="A200" s="6">
        <f>Data!A200</f>
        <v>647</v>
      </c>
      <c r="B200" s="6">
        <f>Data!B200</f>
        <v>1.7506790758472571E-2</v>
      </c>
      <c r="C200" s="6">
        <f>Data!C200</f>
        <v>1.3996661620808346E-3</v>
      </c>
      <c r="D200" s="7">
        <f t="shared" si="6"/>
        <v>1.8906456920553406E-2</v>
      </c>
      <c r="E200" s="7">
        <f t="shared" si="7"/>
        <v>1.6107124596391735E-2</v>
      </c>
    </row>
    <row r="201" spans="1:5" x14ac:dyDescent="0.2">
      <c r="A201" s="6">
        <f>Data!A201</f>
        <v>648</v>
      </c>
      <c r="B201" s="6">
        <f>Data!B201</f>
        <v>1.6876454961994487E-2</v>
      </c>
      <c r="C201" s="6">
        <f>Data!C201</f>
        <v>1.3637756408433474E-3</v>
      </c>
      <c r="D201" s="7">
        <f t="shared" si="6"/>
        <v>1.8240230602837835E-2</v>
      </c>
      <c r="E201" s="7">
        <f t="shared" si="7"/>
        <v>1.5512679321151138E-2</v>
      </c>
    </row>
    <row r="202" spans="1:5" x14ac:dyDescent="0.2">
      <c r="A202" s="6">
        <f>Data!A202</f>
        <v>649</v>
      </c>
      <c r="B202" s="6">
        <f>Data!B202</f>
        <v>1.6134782213237744E-2</v>
      </c>
      <c r="C202" s="6">
        <f>Data!C202</f>
        <v>1.3228330664296554E-3</v>
      </c>
      <c r="D202" s="7">
        <f t="shared" si="6"/>
        <v>1.74576152796674E-2</v>
      </c>
      <c r="E202" s="7">
        <f t="shared" si="7"/>
        <v>1.4811949146808088E-2</v>
      </c>
    </row>
    <row r="203" spans="1:5" x14ac:dyDescent="0.2">
      <c r="A203" s="6">
        <f>Data!A203</f>
        <v>650</v>
      </c>
      <c r="B203" s="6">
        <f>Data!B203</f>
        <v>1.5538297954474679E-2</v>
      </c>
      <c r="C203" s="6">
        <f>Data!C203</f>
        <v>1.2994038493096031E-3</v>
      </c>
      <c r="D203" s="7">
        <f t="shared" si="6"/>
        <v>1.6837701803784282E-2</v>
      </c>
      <c r="E203" s="7">
        <f t="shared" si="7"/>
        <v>1.4238894105165077E-2</v>
      </c>
    </row>
    <row r="204" spans="1:5" x14ac:dyDescent="0.2">
      <c r="A204" s="6"/>
      <c r="B204" s="7"/>
      <c r="C204" s="7"/>
      <c r="D204" s="7"/>
      <c r="E204" s="7"/>
    </row>
    <row r="205" spans="1:5" x14ac:dyDescent="0.2">
      <c r="A205" s="6"/>
      <c r="B205" s="7"/>
      <c r="C205" s="7"/>
      <c r="D205" s="7"/>
      <c r="E205" s="7"/>
    </row>
    <row r="206" spans="1:5" x14ac:dyDescent="0.2">
      <c r="A206" s="6"/>
      <c r="B206" s="7"/>
      <c r="C206" s="7"/>
      <c r="D206" s="7"/>
      <c r="E206" s="7"/>
    </row>
    <row r="207" spans="1:5" x14ac:dyDescent="0.2">
      <c r="A207" s="6"/>
      <c r="B207" s="7"/>
      <c r="C207" s="7"/>
      <c r="D207" s="7"/>
      <c r="E207" s="7"/>
    </row>
    <row r="208" spans="1:5" x14ac:dyDescent="0.2">
      <c r="A208" s="6"/>
      <c r="B208" s="7"/>
      <c r="C208" s="7"/>
      <c r="D208" s="7"/>
      <c r="E208" s="7"/>
    </row>
    <row r="209" spans="1:5" x14ac:dyDescent="0.2">
      <c r="A209" s="6"/>
      <c r="B209" s="7"/>
      <c r="C209" s="7"/>
      <c r="D209" s="7"/>
      <c r="E209" s="7"/>
    </row>
    <row r="210" spans="1:5" x14ac:dyDescent="0.2">
      <c r="A210" s="6"/>
      <c r="B210" s="7"/>
      <c r="C210" s="7"/>
      <c r="D210" s="7"/>
      <c r="E210" s="7"/>
    </row>
    <row r="211" spans="1:5" x14ac:dyDescent="0.2">
      <c r="A211" s="6"/>
      <c r="B211" s="7"/>
      <c r="C211" s="7"/>
      <c r="D211" s="7"/>
      <c r="E211" s="7"/>
    </row>
    <row r="212" spans="1:5" x14ac:dyDescent="0.2">
      <c r="A212" s="6"/>
      <c r="B212" s="7"/>
      <c r="C212" s="7"/>
      <c r="D212" s="7"/>
      <c r="E212" s="7"/>
    </row>
    <row r="213" spans="1:5" x14ac:dyDescent="0.2">
      <c r="A213" s="6"/>
      <c r="B213" s="7"/>
      <c r="C213" s="7"/>
      <c r="D213" s="7"/>
      <c r="E213" s="7"/>
    </row>
    <row r="214" spans="1:5" x14ac:dyDescent="0.2">
      <c r="A214" s="6"/>
      <c r="B214" s="7"/>
      <c r="C214" s="7"/>
      <c r="D214" s="7"/>
      <c r="E214" s="7"/>
    </row>
    <row r="215" spans="1:5" x14ac:dyDescent="0.2">
      <c r="A215" s="6"/>
      <c r="B215" s="7"/>
      <c r="C215" s="7"/>
      <c r="D215" s="7"/>
      <c r="E215" s="7"/>
    </row>
    <row r="216" spans="1:5" x14ac:dyDescent="0.2">
      <c r="A216" s="6"/>
      <c r="B216" s="7"/>
      <c r="C216" s="7"/>
      <c r="D216" s="7"/>
      <c r="E216" s="7"/>
    </row>
    <row r="217" spans="1:5" x14ac:dyDescent="0.2">
      <c r="A217" s="6"/>
      <c r="B217" s="7"/>
      <c r="C217" s="7"/>
      <c r="D217" s="7"/>
      <c r="E217" s="7"/>
    </row>
    <row r="218" spans="1:5" x14ac:dyDescent="0.2">
      <c r="A218" s="6"/>
      <c r="B218" s="7"/>
      <c r="C218" s="7"/>
      <c r="D218" s="7"/>
      <c r="E218" s="7"/>
    </row>
    <row r="219" spans="1:5" x14ac:dyDescent="0.2">
      <c r="A219" s="6"/>
      <c r="B219" s="7"/>
      <c r="C219" s="7"/>
      <c r="D219" s="7"/>
      <c r="E219" s="7"/>
    </row>
    <row r="220" spans="1:5" x14ac:dyDescent="0.2">
      <c r="A220" s="6"/>
      <c r="B220" s="7"/>
      <c r="C220" s="7"/>
      <c r="D220" s="7"/>
      <c r="E220" s="7"/>
    </row>
    <row r="221" spans="1:5" x14ac:dyDescent="0.2">
      <c r="A221" s="6"/>
      <c r="B221" s="7"/>
      <c r="C221" s="7"/>
      <c r="D221" s="7"/>
      <c r="E221" s="7"/>
    </row>
    <row r="222" spans="1:5" x14ac:dyDescent="0.2">
      <c r="A222" s="6"/>
      <c r="B222" s="7"/>
      <c r="C222" s="7"/>
      <c r="D222" s="7"/>
      <c r="E222" s="7"/>
    </row>
    <row r="223" spans="1:5" x14ac:dyDescent="0.2">
      <c r="A223" s="6"/>
      <c r="B223" s="7"/>
      <c r="C223" s="7"/>
      <c r="D223" s="7"/>
      <c r="E223" s="7"/>
    </row>
    <row r="224" spans="1:5" x14ac:dyDescent="0.2">
      <c r="A224" s="6"/>
      <c r="B224" s="7"/>
      <c r="C224" s="7"/>
      <c r="D224" s="7"/>
      <c r="E224" s="7"/>
    </row>
    <row r="225" spans="1:5" x14ac:dyDescent="0.2">
      <c r="A225" s="6"/>
      <c r="B225" s="7"/>
      <c r="C225" s="7"/>
      <c r="D225" s="7"/>
      <c r="E225" s="7"/>
    </row>
    <row r="226" spans="1:5" x14ac:dyDescent="0.2">
      <c r="A226" s="6"/>
      <c r="B226" s="7"/>
      <c r="C226" s="7"/>
      <c r="D226" s="7"/>
      <c r="E226" s="7"/>
    </row>
    <row r="227" spans="1:5" x14ac:dyDescent="0.2">
      <c r="A227" s="6"/>
      <c r="B227" s="7"/>
      <c r="C227" s="7"/>
      <c r="D227" s="7"/>
      <c r="E227" s="7"/>
    </row>
    <row r="228" spans="1:5" x14ac:dyDescent="0.2">
      <c r="A228" s="6"/>
      <c r="B228" s="7"/>
      <c r="C228" s="7"/>
      <c r="D228" s="7"/>
      <c r="E228" s="7"/>
    </row>
    <row r="229" spans="1:5" x14ac:dyDescent="0.2">
      <c r="A229" s="6"/>
      <c r="B229" s="7"/>
      <c r="C229" s="7"/>
      <c r="D229" s="7"/>
      <c r="E229" s="7"/>
    </row>
    <row r="230" spans="1:5" x14ac:dyDescent="0.2">
      <c r="A230" s="6"/>
      <c r="B230" s="7"/>
      <c r="C230" s="7"/>
      <c r="D230" s="7"/>
      <c r="E230" s="7"/>
    </row>
    <row r="231" spans="1:5" x14ac:dyDescent="0.2">
      <c r="A231" s="6"/>
      <c r="B231" s="7"/>
      <c r="C231" s="7"/>
      <c r="D231" s="7"/>
      <c r="E231" s="7"/>
    </row>
    <row r="232" spans="1:5" x14ac:dyDescent="0.2">
      <c r="A232" s="6"/>
      <c r="B232" s="7"/>
      <c r="C232" s="7"/>
      <c r="D232" s="7"/>
      <c r="E232" s="7"/>
    </row>
    <row r="233" spans="1:5" x14ac:dyDescent="0.2">
      <c r="A233" s="6"/>
      <c r="B233" s="7"/>
      <c r="C233" s="7"/>
      <c r="D233" s="7"/>
      <c r="E233" s="7"/>
    </row>
    <row r="234" spans="1:5" x14ac:dyDescent="0.2">
      <c r="A234" s="6"/>
      <c r="B234" s="7"/>
      <c r="C234" s="7"/>
      <c r="D234" s="7"/>
      <c r="E234" s="7"/>
    </row>
    <row r="235" spans="1:5" x14ac:dyDescent="0.2">
      <c r="A235" s="6"/>
      <c r="B235" s="7"/>
      <c r="C235" s="7"/>
      <c r="D235" s="7"/>
      <c r="E235" s="7"/>
    </row>
    <row r="236" spans="1:5" x14ac:dyDescent="0.2">
      <c r="A236" s="6"/>
      <c r="B236" s="7"/>
      <c r="C236" s="7"/>
      <c r="D236" s="7"/>
      <c r="E236" s="7"/>
    </row>
    <row r="237" spans="1:5" x14ac:dyDescent="0.2">
      <c r="A237" s="6"/>
      <c r="B237" s="7"/>
      <c r="C237" s="7"/>
      <c r="D237" s="7"/>
      <c r="E237" s="7"/>
    </row>
    <row r="238" spans="1:5" x14ac:dyDescent="0.2">
      <c r="A238" s="6"/>
      <c r="B238" s="7"/>
      <c r="C238" s="7"/>
      <c r="D238" s="7"/>
      <c r="E238" s="7"/>
    </row>
    <row r="239" spans="1:5" x14ac:dyDescent="0.2">
      <c r="A239" s="6"/>
      <c r="B239" s="7"/>
      <c r="C239" s="7"/>
      <c r="D239" s="7"/>
      <c r="E239" s="7"/>
    </row>
    <row r="240" spans="1:5" x14ac:dyDescent="0.2">
      <c r="A240" s="6"/>
      <c r="B240" s="7"/>
      <c r="C240" s="7"/>
      <c r="D240" s="7"/>
      <c r="E240" s="7"/>
    </row>
    <row r="241" spans="1:5" x14ac:dyDescent="0.2">
      <c r="A241" s="6"/>
      <c r="B241" s="7"/>
      <c r="C241" s="7"/>
      <c r="D241" s="7"/>
      <c r="E241" s="7"/>
    </row>
    <row r="242" spans="1:5" x14ac:dyDescent="0.2">
      <c r="A242" s="6"/>
      <c r="B242" s="7"/>
      <c r="C242" s="7"/>
      <c r="D242" s="7"/>
      <c r="E242" s="7"/>
    </row>
    <row r="243" spans="1:5" x14ac:dyDescent="0.2">
      <c r="A243" s="6"/>
      <c r="B243" s="7"/>
      <c r="C243" s="7"/>
      <c r="D243" s="7"/>
      <c r="E243" s="7"/>
    </row>
    <row r="244" spans="1:5" x14ac:dyDescent="0.2">
      <c r="A244" s="6"/>
      <c r="B244" s="7"/>
      <c r="C244" s="7"/>
      <c r="D244" s="7"/>
      <c r="E244" s="7"/>
    </row>
    <row r="245" spans="1:5" x14ac:dyDescent="0.2">
      <c r="A245" s="6"/>
      <c r="B245" s="7"/>
      <c r="C245" s="7"/>
      <c r="D245" s="7"/>
      <c r="E245" s="7"/>
    </row>
    <row r="246" spans="1:5" x14ac:dyDescent="0.2">
      <c r="A246" s="6"/>
      <c r="B246" s="7"/>
      <c r="C246" s="7"/>
      <c r="D246" s="7"/>
      <c r="E246" s="7"/>
    </row>
    <row r="247" spans="1:5" x14ac:dyDescent="0.2">
      <c r="A247" s="6"/>
      <c r="B247" s="7"/>
      <c r="C247" s="7"/>
      <c r="D247" s="7"/>
      <c r="E247" s="7"/>
    </row>
    <row r="248" spans="1:5" x14ac:dyDescent="0.2">
      <c r="A248" s="6"/>
      <c r="B248" s="7"/>
      <c r="C248" s="7"/>
      <c r="D248" s="7"/>
      <c r="E248" s="7"/>
    </row>
    <row r="249" spans="1:5" x14ac:dyDescent="0.2">
      <c r="A249" s="6"/>
      <c r="B249" s="7"/>
      <c r="C249" s="7"/>
      <c r="D249" s="7"/>
      <c r="E249" s="7"/>
    </row>
    <row r="250" spans="1:5" x14ac:dyDescent="0.2">
      <c r="A250" s="6"/>
      <c r="B250" s="7"/>
      <c r="C250" s="7"/>
      <c r="D250" s="7"/>
      <c r="E250" s="7"/>
    </row>
    <row r="251" spans="1:5" x14ac:dyDescent="0.2">
      <c r="A251" s="6"/>
      <c r="B251" s="7"/>
      <c r="C251" s="7"/>
      <c r="D251" s="7"/>
      <c r="E251" s="7"/>
    </row>
    <row r="252" spans="1:5" x14ac:dyDescent="0.2">
      <c r="A252" s="6"/>
      <c r="B252" s="7"/>
      <c r="C252" s="7"/>
      <c r="D252" s="7"/>
      <c r="E252" s="7"/>
    </row>
    <row r="253" spans="1:5" x14ac:dyDescent="0.2">
      <c r="A253" s="6"/>
      <c r="B253" s="7"/>
      <c r="C253" s="7"/>
      <c r="D253" s="7"/>
      <c r="E253" s="7"/>
    </row>
    <row r="254" spans="1:5" x14ac:dyDescent="0.2">
      <c r="A254" s="6"/>
      <c r="B254" s="7"/>
      <c r="C254" s="7"/>
      <c r="D254" s="7"/>
      <c r="E254" s="7"/>
    </row>
    <row r="255" spans="1:5" x14ac:dyDescent="0.2">
      <c r="A255" s="6"/>
      <c r="B255" s="7"/>
      <c r="C255" s="7"/>
      <c r="D255" s="7"/>
      <c r="E255" s="7"/>
    </row>
    <row r="256" spans="1:5" x14ac:dyDescent="0.2">
      <c r="A256" s="6"/>
      <c r="B256" s="7"/>
      <c r="C256" s="7"/>
      <c r="D256" s="7"/>
      <c r="E256" s="7"/>
    </row>
    <row r="257" spans="1:5" x14ac:dyDescent="0.2">
      <c r="A257" s="6"/>
      <c r="B257" s="7"/>
      <c r="C257" s="7"/>
      <c r="D257" s="7"/>
      <c r="E257" s="7"/>
    </row>
    <row r="258" spans="1:5" x14ac:dyDescent="0.2">
      <c r="A258" s="6"/>
      <c r="B258" s="7"/>
      <c r="C258" s="7"/>
      <c r="D258" s="7"/>
      <c r="E258" s="7"/>
    </row>
    <row r="259" spans="1:5" x14ac:dyDescent="0.2">
      <c r="A259" s="6"/>
      <c r="B259" s="7"/>
      <c r="C259" s="7"/>
      <c r="D259" s="7"/>
      <c r="E259" s="7"/>
    </row>
    <row r="260" spans="1:5" x14ac:dyDescent="0.2">
      <c r="A260" s="6"/>
      <c r="B260" s="7"/>
      <c r="C260" s="7"/>
      <c r="D260" s="7"/>
      <c r="E260" s="7"/>
    </row>
    <row r="261" spans="1:5" x14ac:dyDescent="0.2">
      <c r="A261" s="6"/>
      <c r="B261" s="7"/>
      <c r="C261" s="7"/>
      <c r="D261" s="7"/>
      <c r="E261" s="7"/>
    </row>
    <row r="262" spans="1:5" x14ac:dyDescent="0.2">
      <c r="A262" s="6"/>
      <c r="B262" s="7"/>
      <c r="C262" s="7"/>
      <c r="D262" s="7"/>
      <c r="E262" s="7"/>
    </row>
    <row r="263" spans="1:5" x14ac:dyDescent="0.2">
      <c r="A263" s="6"/>
      <c r="B263" s="7"/>
      <c r="C263" s="7"/>
      <c r="D263" s="7"/>
      <c r="E263" s="7"/>
    </row>
    <row r="264" spans="1:5" x14ac:dyDescent="0.2">
      <c r="A264" s="6"/>
      <c r="B264" s="7"/>
      <c r="C264" s="7"/>
      <c r="D264" s="7"/>
      <c r="E264" s="7"/>
    </row>
    <row r="265" spans="1:5" x14ac:dyDescent="0.2">
      <c r="A265" s="6"/>
      <c r="B265" s="7"/>
      <c r="C265" s="7"/>
      <c r="D265" s="7"/>
      <c r="E265" s="7"/>
    </row>
    <row r="266" spans="1:5" x14ac:dyDescent="0.2">
      <c r="A266" s="6"/>
      <c r="B266" s="7"/>
      <c r="C266" s="7"/>
      <c r="D266" s="7"/>
      <c r="E266" s="7"/>
    </row>
    <row r="267" spans="1:5" x14ac:dyDescent="0.2">
      <c r="A267" s="6"/>
      <c r="B267" s="7"/>
      <c r="C267" s="7"/>
      <c r="D267" s="7"/>
      <c r="E267" s="7"/>
    </row>
    <row r="268" spans="1:5" x14ac:dyDescent="0.2">
      <c r="A268" s="6"/>
      <c r="B268" s="7"/>
      <c r="C268" s="7"/>
      <c r="D268" s="7"/>
      <c r="E268" s="7"/>
    </row>
    <row r="269" spans="1:5" x14ac:dyDescent="0.2">
      <c r="A269" s="6"/>
      <c r="B269" s="7"/>
      <c r="C269" s="7"/>
      <c r="D269" s="7"/>
      <c r="E269" s="7"/>
    </row>
    <row r="270" spans="1:5" x14ac:dyDescent="0.2">
      <c r="A270" s="6"/>
      <c r="B270" s="7"/>
      <c r="C270" s="7"/>
      <c r="D270" s="7"/>
      <c r="E270" s="7"/>
    </row>
    <row r="271" spans="1:5" x14ac:dyDescent="0.2">
      <c r="A271" s="6"/>
      <c r="B271" s="7"/>
      <c r="C271" s="7"/>
      <c r="D271" s="7"/>
      <c r="E271" s="7"/>
    </row>
    <row r="272" spans="1:5" x14ac:dyDescent="0.2">
      <c r="A272" s="6"/>
      <c r="B272" s="7"/>
      <c r="C272" s="7"/>
      <c r="D272" s="7"/>
      <c r="E272" s="7"/>
    </row>
    <row r="273" spans="1:5" x14ac:dyDescent="0.2">
      <c r="A273" s="6"/>
      <c r="B273" s="7"/>
      <c r="C273" s="7"/>
      <c r="D273" s="7"/>
      <c r="E273" s="7"/>
    </row>
    <row r="274" spans="1:5" x14ac:dyDescent="0.2">
      <c r="A274" s="6"/>
      <c r="B274" s="7"/>
      <c r="C274" s="7"/>
      <c r="D274" s="7"/>
      <c r="E274" s="7"/>
    </row>
    <row r="275" spans="1:5" x14ac:dyDescent="0.2">
      <c r="A275" s="6"/>
      <c r="B275" s="7"/>
      <c r="C275" s="7"/>
      <c r="D275" s="7"/>
      <c r="E275" s="7"/>
    </row>
    <row r="276" spans="1:5" x14ac:dyDescent="0.2">
      <c r="A276" s="6"/>
      <c r="B276" s="7"/>
      <c r="C276" s="7"/>
      <c r="D276" s="7"/>
      <c r="E276" s="7"/>
    </row>
    <row r="277" spans="1:5" x14ac:dyDescent="0.2">
      <c r="A277" s="6"/>
      <c r="B277" s="7"/>
      <c r="C277" s="7"/>
      <c r="D277" s="7"/>
      <c r="E277" s="7"/>
    </row>
    <row r="278" spans="1:5" x14ac:dyDescent="0.2">
      <c r="A278" s="6"/>
      <c r="B278" s="7"/>
      <c r="C278" s="7"/>
      <c r="D278" s="7"/>
      <c r="E278" s="7"/>
    </row>
    <row r="279" spans="1:5" x14ac:dyDescent="0.2">
      <c r="A279" s="6"/>
      <c r="B279" s="7"/>
      <c r="C279" s="7"/>
      <c r="D279" s="7"/>
      <c r="E279" s="7"/>
    </row>
    <row r="280" spans="1:5" x14ac:dyDescent="0.2">
      <c r="A280" s="6"/>
      <c r="B280" s="7"/>
      <c r="C280" s="7"/>
      <c r="D280" s="7"/>
      <c r="E280" s="7"/>
    </row>
    <row r="281" spans="1:5" x14ac:dyDescent="0.2">
      <c r="A281" s="6"/>
      <c r="B281" s="7"/>
      <c r="C281" s="7"/>
      <c r="D281" s="7"/>
      <c r="E281" s="7"/>
    </row>
    <row r="282" spans="1:5" x14ac:dyDescent="0.2">
      <c r="A282" s="6"/>
      <c r="B282" s="7"/>
      <c r="C282" s="7"/>
      <c r="D282" s="7"/>
      <c r="E282" s="7"/>
    </row>
    <row r="283" spans="1:5" x14ac:dyDescent="0.2">
      <c r="A283" s="6"/>
      <c r="B283" s="7"/>
      <c r="C283" s="7"/>
      <c r="D283" s="7"/>
      <c r="E283" s="7"/>
    </row>
    <row r="284" spans="1:5" x14ac:dyDescent="0.2">
      <c r="A284" s="6"/>
      <c r="B284" s="7"/>
      <c r="C284" s="7"/>
      <c r="D284" s="7"/>
      <c r="E284" s="7"/>
    </row>
    <row r="285" spans="1:5" x14ac:dyDescent="0.2">
      <c r="A285" s="6"/>
      <c r="B285" s="7"/>
      <c r="C285" s="7"/>
      <c r="D285" s="7"/>
      <c r="E285" s="7"/>
    </row>
    <row r="286" spans="1:5" x14ac:dyDescent="0.2">
      <c r="A286" s="6"/>
      <c r="B286" s="7"/>
      <c r="C286" s="7"/>
      <c r="D286" s="7"/>
      <c r="E286" s="7"/>
    </row>
    <row r="287" spans="1:5" x14ac:dyDescent="0.2">
      <c r="A287" s="6"/>
      <c r="B287" s="7"/>
      <c r="C287" s="7"/>
      <c r="D287" s="7"/>
      <c r="E287" s="7"/>
    </row>
    <row r="288" spans="1:5" x14ac:dyDescent="0.2">
      <c r="A288" s="6"/>
      <c r="B288" s="7"/>
      <c r="C288" s="7"/>
      <c r="D288" s="7"/>
      <c r="E288" s="7"/>
    </row>
    <row r="289" spans="1:5" x14ac:dyDescent="0.2">
      <c r="A289" s="6"/>
      <c r="B289" s="7"/>
      <c r="C289" s="7"/>
      <c r="D289" s="7"/>
      <c r="E289" s="7"/>
    </row>
    <row r="290" spans="1:5" x14ac:dyDescent="0.2">
      <c r="A290" s="6"/>
      <c r="B290" s="7"/>
      <c r="C290" s="7"/>
      <c r="D290" s="7"/>
      <c r="E290" s="7"/>
    </row>
    <row r="291" spans="1:5" x14ac:dyDescent="0.2">
      <c r="A291" s="6"/>
      <c r="B291" s="7"/>
      <c r="C291" s="7"/>
      <c r="D291" s="7"/>
      <c r="E291" s="7"/>
    </row>
    <row r="292" spans="1:5" x14ac:dyDescent="0.2">
      <c r="A292" s="6"/>
      <c r="B292" s="7"/>
      <c r="C292" s="7"/>
      <c r="D292" s="7"/>
      <c r="E292" s="7"/>
    </row>
    <row r="293" spans="1:5" x14ac:dyDescent="0.2">
      <c r="A293" s="6"/>
      <c r="B293" s="7"/>
      <c r="C293" s="7"/>
      <c r="D293" s="7"/>
      <c r="E293" s="7"/>
    </row>
    <row r="294" spans="1:5" x14ac:dyDescent="0.2">
      <c r="A294" s="6"/>
      <c r="B294" s="7"/>
      <c r="C294" s="7"/>
      <c r="D294" s="7"/>
      <c r="E294" s="7"/>
    </row>
    <row r="295" spans="1:5" x14ac:dyDescent="0.2">
      <c r="A295" s="6"/>
      <c r="B295" s="7"/>
      <c r="C295" s="7"/>
      <c r="D295" s="7"/>
      <c r="E295" s="7"/>
    </row>
    <row r="296" spans="1:5" x14ac:dyDescent="0.2">
      <c r="A296" s="6"/>
      <c r="B296" s="7"/>
      <c r="C296" s="7"/>
      <c r="D296" s="7"/>
      <c r="E296" s="7"/>
    </row>
    <row r="297" spans="1:5" x14ac:dyDescent="0.2">
      <c r="A297" s="6"/>
      <c r="B297" s="7"/>
      <c r="C297" s="7"/>
      <c r="D297" s="7"/>
      <c r="E297" s="7"/>
    </row>
    <row r="298" spans="1:5" x14ac:dyDescent="0.2">
      <c r="A298" s="6"/>
      <c r="B298" s="7"/>
      <c r="C298" s="7"/>
      <c r="D298" s="7"/>
      <c r="E298" s="7"/>
    </row>
    <row r="299" spans="1:5" x14ac:dyDescent="0.2">
      <c r="A299" s="6"/>
      <c r="B299" s="7"/>
      <c r="C299" s="7"/>
      <c r="D299" s="7"/>
      <c r="E299" s="7"/>
    </row>
    <row r="300" spans="1:5" x14ac:dyDescent="0.2">
      <c r="A300" s="6"/>
      <c r="B300" s="7"/>
      <c r="C300" s="7"/>
      <c r="D300" s="7"/>
      <c r="E300" s="7"/>
    </row>
    <row r="301" spans="1:5" x14ac:dyDescent="0.2">
      <c r="A301" s="6"/>
      <c r="B301" s="7"/>
      <c r="C301" s="7"/>
      <c r="D301" s="7"/>
      <c r="E301" s="7"/>
    </row>
    <row r="302" spans="1:5" x14ac:dyDescent="0.2">
      <c r="A302" s="6"/>
      <c r="B302" s="7"/>
      <c r="C302" s="7"/>
      <c r="D302" s="7"/>
      <c r="E302" s="7"/>
    </row>
    <row r="303" spans="1:5" x14ac:dyDescent="0.2">
      <c r="A303" s="6"/>
      <c r="B303" s="7"/>
      <c r="C303" s="7"/>
      <c r="D303" s="7"/>
      <c r="E303" s="7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Excel 4.0 Macros</vt:lpstr>
      </vt:variant>
      <vt:variant>
        <vt:i4>1</vt:i4>
      </vt:variant>
    </vt:vector>
  </HeadingPairs>
  <TitlesOfParts>
    <vt:vector size="3" baseType="lpstr">
      <vt:lpstr>Data</vt:lpstr>
      <vt:lpstr>Graph</vt:lpstr>
      <vt:lpstr>Macro1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DeRose, Paul C. (Fed)</dc:creator>
  <cp:lastModifiedBy>Paul C. DeRose</cp:lastModifiedBy>
  <dcterms:created xsi:type="dcterms:W3CDTF">2006-07-25T20:19:43Z</dcterms:created>
  <dcterms:modified xsi:type="dcterms:W3CDTF">2018-09-17T20:38:36Z</dcterms:modified>
</cp:coreProperties>
</file>